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DMA\BASE\FLETES - Miercoles\2026\"/>
    </mc:Choice>
  </mc:AlternateContent>
  <xr:revisionPtr revIDLastSave="0" documentId="13_ncr:1_{77FEE831-AA56-4306-8F5B-F806ABC082BF}" xr6:coauthVersionLast="36" xr6:coauthVersionMax="36" xr10:uidLastSave="{00000000-0000-0000-0000-000000000000}"/>
  <bookViews>
    <workbookView xWindow="-120" yWindow="-120" windowWidth="24240" windowHeight="13140" tabRatio="662" firstSheet="3" activeTab="3" xr2:uid="{00000000-000D-0000-FFFF-FFFF00000000}"/>
  </bookViews>
  <sheets>
    <sheet name="b. CAMION" sheetId="36" state="hidden" r:id="rId1"/>
    <sheet name="Base FF.CC." sheetId="17" state="hidden" r:id="rId2"/>
    <sheet name="b. marít graficos" sheetId="20" state="hidden" r:id="rId3"/>
    <sheet name="informe " sheetId="39" r:id="rId4"/>
    <sheet name="BASE ffcc" sheetId="24" state="hidden" r:id="rId5"/>
    <sheet name="BASE TEMATICO 2º" sheetId="28" state="hidden" r:id="rId6"/>
    <sheet name="Inf Tematico Maritimo" sheetId="37" state="hidden" r:id="rId7"/>
    <sheet name="Inf. Temático FF.CC." sheetId="18" state="hidden" r:id="rId8"/>
    <sheet name="Inf Temático 1°Semest-09" sheetId="23" state="hidden" r:id="rId9"/>
    <sheet name="Inf Tematico 2°Semest" sheetId="26" state="hidden" r:id="rId10"/>
    <sheet name="Informe Temático (4)" sheetId="14" state="hidden" r:id="rId11"/>
    <sheet name="Inf. Mario" sheetId="15" state="hidden" r:id="rId12"/>
    <sheet name="Hoja1" sheetId="38" state="hidden" r:id="rId13"/>
    <sheet name="BASE CAMION" sheetId="19" state="hidden" r:id="rId14"/>
    <sheet name="B.MARITIMO" sheetId="32" state="hidden" r:id="rId15"/>
    <sheet name="b. contenedores" sheetId="7" state="hidden" r:id="rId16"/>
    <sheet name="kilometros contenedor" sheetId="29" state="hidden" r:id="rId17"/>
    <sheet name="B.AEREO" sheetId="31" state="hidden" r:id="rId18"/>
    <sheet name="B.BARCAZAS" sheetId="33" state="hidden" r:id="rId19"/>
    <sheet name="Informe Temático (2)" sheetId="12" state="hidden" r:id="rId20"/>
  </sheets>
  <externalReferences>
    <externalReference r:id="rId21"/>
    <externalReference r:id="rId22"/>
    <externalReference r:id="rId23"/>
  </externalReferences>
  <definedNames>
    <definedName name="albo">[1]Camión!$B$1:$E$47</definedName>
    <definedName name="FLETES">'[2]Maritimo y Fluvial'!$B$125:$H$147</definedName>
    <definedName name="I_MARITIMO" localSheetId="10">'Informe Temático (4)'!$B$1:$K$67</definedName>
    <definedName name="I_MARITIMO">#REF!</definedName>
    <definedName name="IGCDestino">'[3]IGC tabla'!$A$3:$A$80</definedName>
    <definedName name="IGCOrigen">'[3]IGC tabla'!$G$1:$AD$80</definedName>
    <definedName name="II_MARITIMO" localSheetId="10">'Informe Temático (4)'!#REF!</definedName>
    <definedName name="II_MARITIMO">#REF!</definedName>
    <definedName name="III_FLUVIAL" localSheetId="10">'Informe Temático (4)'!$B$90:$K$90</definedName>
    <definedName name="III_FLUVIAL">#REF!</definedName>
    <definedName name="IMPRICAMION" localSheetId="11">'Inf. Mario'!$B$1:$E$19</definedName>
    <definedName name="IMPRICAMION">#REF!</definedName>
    <definedName name="IMPRIFF.CC.">#REF!</definedName>
  </definedNames>
  <calcPr calcId="191029"/>
</workbook>
</file>

<file path=xl/calcChain.xml><?xml version="1.0" encoding="utf-8"?>
<calcChain xmlns="http://schemas.openxmlformats.org/spreadsheetml/2006/main">
  <c r="B3" i="39" l="1"/>
  <c r="J6" i="14" l="1"/>
  <c r="B1" i="15"/>
  <c r="E47" i="15"/>
  <c r="C46" i="15"/>
  <c r="C45" i="15"/>
  <c r="E44" i="15"/>
  <c r="D44" i="15"/>
  <c r="F30" i="15"/>
  <c r="F46" i="15"/>
  <c r="C16" i="15"/>
  <c r="E16" i="15" s="1"/>
  <c r="C15" i="15"/>
  <c r="E15" i="15" s="1"/>
  <c r="C12" i="15"/>
  <c r="E12" i="15" s="1"/>
  <c r="O4" i="20"/>
  <c r="O5" i="20"/>
  <c r="O6" i="20"/>
  <c r="O3" i="20"/>
  <c r="M48" i="36"/>
  <c r="L48" i="36"/>
  <c r="K48" i="36"/>
  <c r="J48" i="36"/>
  <c r="I48" i="36"/>
  <c r="G48" i="36"/>
  <c r="F48" i="36"/>
  <c r="E48" i="36"/>
  <c r="D48" i="36"/>
  <c r="B48" i="36"/>
  <c r="M47" i="36"/>
  <c r="L47" i="36"/>
  <c r="K47" i="36"/>
  <c r="J47" i="36"/>
  <c r="I47" i="36"/>
  <c r="G47" i="36"/>
  <c r="F47" i="36"/>
  <c r="E47" i="36"/>
  <c r="D47" i="36"/>
  <c r="B47" i="36"/>
  <c r="M46" i="36"/>
  <c r="L46" i="36"/>
  <c r="K46" i="36"/>
  <c r="J46" i="36"/>
  <c r="I46" i="36"/>
  <c r="G46" i="36"/>
  <c r="F46" i="36"/>
  <c r="E46" i="36"/>
  <c r="D46" i="36"/>
  <c r="B46" i="36"/>
  <c r="M45" i="36"/>
  <c r="L45" i="36"/>
  <c r="K45" i="36"/>
  <c r="J45" i="36"/>
  <c r="I45" i="36"/>
  <c r="G45" i="36"/>
  <c r="F45" i="36"/>
  <c r="E45" i="36"/>
  <c r="D45" i="36"/>
  <c r="B45" i="36"/>
  <c r="G10" i="19"/>
  <c r="G8" i="19"/>
  <c r="E134" i="20"/>
  <c r="E133" i="20"/>
  <c r="E132" i="20"/>
  <c r="E131" i="20"/>
  <c r="D134" i="20"/>
  <c r="D133" i="20"/>
  <c r="D132" i="20"/>
  <c r="D131" i="20"/>
  <c r="C134" i="20"/>
  <c r="C133" i="20"/>
  <c r="C132" i="20"/>
  <c r="C131" i="20"/>
  <c r="M120" i="20"/>
  <c r="M119" i="20"/>
  <c r="M118" i="20"/>
  <c r="M117" i="20"/>
  <c r="L117" i="20"/>
  <c r="L120" i="20"/>
  <c r="L119" i="20"/>
  <c r="L118" i="20"/>
  <c r="K120" i="20"/>
  <c r="K119" i="20"/>
  <c r="K118" i="20"/>
  <c r="K117" i="20"/>
  <c r="J119" i="20"/>
  <c r="J118" i="20"/>
  <c r="I120" i="20"/>
  <c r="I119" i="20"/>
  <c r="I118" i="20"/>
  <c r="I117" i="20"/>
  <c r="H120" i="20"/>
  <c r="H119" i="20"/>
  <c r="H118" i="20"/>
  <c r="H117" i="20"/>
  <c r="D127" i="20"/>
  <c r="G120" i="20"/>
  <c r="G119" i="20"/>
  <c r="G118" i="20"/>
  <c r="G117" i="20"/>
  <c r="D120" i="20"/>
  <c r="D118" i="20"/>
  <c r="D117" i="20"/>
  <c r="C120" i="20"/>
  <c r="C119" i="20"/>
  <c r="C118" i="20"/>
  <c r="C117" i="20"/>
  <c r="C127" i="20"/>
  <c r="E127" i="20"/>
  <c r="F127" i="20"/>
  <c r="G127" i="20"/>
  <c r="H127" i="20"/>
  <c r="I127" i="20"/>
  <c r="J127" i="20"/>
  <c r="K127" i="20"/>
  <c r="L127" i="20"/>
  <c r="M127" i="20"/>
  <c r="N127" i="20"/>
  <c r="C126" i="20"/>
  <c r="D126" i="20"/>
  <c r="E126" i="20"/>
  <c r="F126" i="20"/>
  <c r="G126" i="20"/>
  <c r="H126" i="20"/>
  <c r="I126" i="20"/>
  <c r="J126" i="20"/>
  <c r="K126" i="20"/>
  <c r="L126" i="20"/>
  <c r="M126" i="20"/>
  <c r="N126" i="20"/>
  <c r="C125" i="20"/>
  <c r="D125" i="20"/>
  <c r="E125" i="20"/>
  <c r="F125" i="20"/>
  <c r="G125" i="20"/>
  <c r="H125" i="20"/>
  <c r="I125" i="20"/>
  <c r="J125" i="20"/>
  <c r="K125" i="20"/>
  <c r="L125" i="20"/>
  <c r="M125" i="20"/>
  <c r="N125" i="20"/>
  <c r="C124" i="20"/>
  <c r="D124" i="20"/>
  <c r="E124" i="20"/>
  <c r="F124" i="20"/>
  <c r="G124" i="20"/>
  <c r="H124" i="20"/>
  <c r="I124" i="20"/>
  <c r="J124" i="20"/>
  <c r="K124" i="20"/>
  <c r="L124" i="20"/>
  <c r="M124" i="20"/>
  <c r="N124" i="20"/>
  <c r="M40" i="36"/>
  <c r="L40" i="36"/>
  <c r="K40" i="36"/>
  <c r="J40" i="36"/>
  <c r="I40" i="36"/>
  <c r="G40" i="36"/>
  <c r="F40" i="36"/>
  <c r="E40" i="36"/>
  <c r="D40" i="36"/>
  <c r="B40" i="36"/>
  <c r="M39" i="36"/>
  <c r="L39" i="36"/>
  <c r="K39" i="36"/>
  <c r="J39" i="36"/>
  <c r="I39" i="36"/>
  <c r="G39" i="36"/>
  <c r="F39" i="36"/>
  <c r="E39" i="36"/>
  <c r="D39" i="36"/>
  <c r="B39" i="36"/>
  <c r="M38" i="36"/>
  <c r="L38" i="36"/>
  <c r="K38" i="36"/>
  <c r="J38" i="36"/>
  <c r="I38" i="36"/>
  <c r="G38" i="36"/>
  <c r="F38" i="36"/>
  <c r="E38" i="36"/>
  <c r="D38" i="36"/>
  <c r="B38" i="36"/>
  <c r="M37" i="36"/>
  <c r="L37" i="36"/>
  <c r="K37" i="36"/>
  <c r="J37" i="36"/>
  <c r="I37" i="36"/>
  <c r="G37" i="36"/>
  <c r="F37" i="36"/>
  <c r="E37" i="36"/>
  <c r="D37" i="36"/>
  <c r="B37" i="36"/>
  <c r="C111" i="20"/>
  <c r="N111" i="20"/>
  <c r="C112" i="20"/>
  <c r="N112" i="20"/>
  <c r="C113" i="20"/>
  <c r="N113" i="20"/>
  <c r="C110" i="20"/>
  <c r="N110" i="20"/>
  <c r="H17" i="29"/>
  <c r="H16" i="29"/>
  <c r="H15" i="29"/>
  <c r="H14" i="29"/>
  <c r="H13" i="29"/>
  <c r="H12" i="29"/>
  <c r="C11" i="29"/>
  <c r="H11" i="29" s="1"/>
  <c r="H10" i="29"/>
  <c r="H9" i="29"/>
  <c r="H8" i="29"/>
  <c r="H7" i="29"/>
  <c r="H6" i="29"/>
  <c r="H5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2" i="37"/>
  <c r="J17" i="37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P34" i="26"/>
  <c r="P35" i="26"/>
  <c r="P36" i="26"/>
  <c r="M34" i="26"/>
  <c r="M35" i="26"/>
  <c r="M36" i="26"/>
  <c r="U36" i="23"/>
  <c r="U35" i="23"/>
  <c r="U34" i="23"/>
  <c r="U33" i="23"/>
  <c r="U32" i="23"/>
  <c r="U31" i="23"/>
  <c r="U30" i="23"/>
  <c r="U29" i="23"/>
  <c r="U28" i="23"/>
  <c r="U27" i="23"/>
  <c r="U26" i="23"/>
  <c r="U25" i="23"/>
  <c r="U24" i="23"/>
  <c r="U23" i="23"/>
  <c r="U22" i="23"/>
  <c r="U21" i="23"/>
  <c r="U20" i="23"/>
  <c r="U19" i="23"/>
  <c r="U18" i="23"/>
  <c r="U17" i="23"/>
  <c r="U16" i="23"/>
  <c r="C103" i="20"/>
  <c r="D103" i="20"/>
  <c r="E103" i="20"/>
  <c r="F103" i="20"/>
  <c r="G103" i="20"/>
  <c r="H103" i="20"/>
  <c r="I103" i="20"/>
  <c r="J103" i="20"/>
  <c r="K103" i="20"/>
  <c r="C104" i="20"/>
  <c r="D104" i="20"/>
  <c r="E104" i="20"/>
  <c r="F104" i="20"/>
  <c r="G104" i="20"/>
  <c r="H104" i="20"/>
  <c r="I104" i="20"/>
  <c r="J104" i="20"/>
  <c r="K104" i="20"/>
  <c r="C105" i="20"/>
  <c r="D105" i="20"/>
  <c r="E105" i="20"/>
  <c r="F105" i="20"/>
  <c r="G105" i="20"/>
  <c r="H105" i="20"/>
  <c r="I105" i="20"/>
  <c r="J105" i="20"/>
  <c r="K105" i="20"/>
  <c r="C102" i="20"/>
  <c r="D102" i="20"/>
  <c r="E102" i="20"/>
  <c r="F102" i="20"/>
  <c r="G102" i="20"/>
  <c r="H102" i="20"/>
  <c r="I102" i="20"/>
  <c r="J102" i="20"/>
  <c r="K102" i="20"/>
  <c r="L36" i="26"/>
  <c r="K16" i="26"/>
  <c r="K19" i="26"/>
  <c r="K22" i="26"/>
  <c r="K25" i="26"/>
  <c r="K28" i="26"/>
  <c r="K31" i="26"/>
  <c r="K17" i="26"/>
  <c r="K20" i="26"/>
  <c r="K23" i="26"/>
  <c r="K26" i="26"/>
  <c r="K29" i="26"/>
  <c r="K32" i="26"/>
  <c r="K18" i="26"/>
  <c r="K21" i="26"/>
  <c r="K24" i="26"/>
  <c r="K27" i="26"/>
  <c r="K30" i="26"/>
  <c r="K33" i="26"/>
  <c r="D34" i="26"/>
  <c r="G34" i="26"/>
  <c r="J34" i="26"/>
  <c r="D35" i="26"/>
  <c r="G35" i="26"/>
  <c r="J35" i="26"/>
  <c r="D36" i="26"/>
  <c r="G36" i="26"/>
  <c r="J36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20" i="26"/>
  <c r="V21" i="26"/>
  <c r="V19" i="26"/>
  <c r="V17" i="26"/>
  <c r="V18" i="26"/>
  <c r="V16" i="26"/>
  <c r="D40" i="37"/>
  <c r="D41" i="37"/>
  <c r="D42" i="37"/>
  <c r="D43" i="37"/>
  <c r="D44" i="37"/>
  <c r="I36" i="26"/>
  <c r="I35" i="26"/>
  <c r="I34" i="26"/>
  <c r="M18" i="37"/>
  <c r="M19" i="37"/>
  <c r="M21" i="37"/>
  <c r="M17" i="37"/>
  <c r="J18" i="37"/>
  <c r="J19" i="37"/>
  <c r="J21" i="37"/>
  <c r="G18" i="37"/>
  <c r="G19" i="37"/>
  <c r="G21" i="37"/>
  <c r="G17" i="37"/>
  <c r="D18" i="37"/>
  <c r="D19" i="37"/>
  <c r="D21" i="37"/>
  <c r="D17" i="37"/>
  <c r="M30" i="37"/>
  <c r="M31" i="37"/>
  <c r="M32" i="37"/>
  <c r="M33" i="37"/>
  <c r="M29" i="37"/>
  <c r="J30" i="37"/>
  <c r="J31" i="37"/>
  <c r="J32" i="37"/>
  <c r="J33" i="37"/>
  <c r="J29" i="37"/>
  <c r="G30" i="37"/>
  <c r="G31" i="37"/>
  <c r="G32" i="37"/>
  <c r="G33" i="37"/>
  <c r="G29" i="37"/>
  <c r="D30" i="37"/>
  <c r="D31" i="37"/>
  <c r="D33" i="37"/>
  <c r="D29" i="37"/>
  <c r="M41" i="37"/>
  <c r="M42" i="37"/>
  <c r="M44" i="37"/>
  <c r="P41" i="37"/>
  <c r="P42" i="37"/>
  <c r="P44" i="37"/>
  <c r="P40" i="37"/>
  <c r="M40" i="37"/>
  <c r="J42" i="37"/>
  <c r="J44" i="37"/>
  <c r="J40" i="37"/>
  <c r="G44" i="37"/>
  <c r="G40" i="37"/>
  <c r="U17" i="26"/>
  <c r="U18" i="26"/>
  <c r="U19" i="26"/>
  <c r="U20" i="26"/>
  <c r="U21" i="26"/>
  <c r="U22" i="26"/>
  <c r="U23" i="26"/>
  <c r="U24" i="26"/>
  <c r="U25" i="26"/>
  <c r="U26" i="26"/>
  <c r="U27" i="26"/>
  <c r="U28" i="26"/>
  <c r="U29" i="26"/>
  <c r="W29" i="26" s="1"/>
  <c r="U30" i="26"/>
  <c r="W30" i="26" s="1"/>
  <c r="U31" i="26"/>
  <c r="U32" i="26"/>
  <c r="W32" i="26" s="1"/>
  <c r="U33" i="26"/>
  <c r="C34" i="26"/>
  <c r="U34" i="26" s="1"/>
  <c r="C35" i="26"/>
  <c r="U35" i="26" s="1"/>
  <c r="C36" i="26"/>
  <c r="U36" i="26" s="1"/>
  <c r="U16" i="26"/>
  <c r="R36" i="26"/>
  <c r="T36" i="26"/>
  <c r="R35" i="26"/>
  <c r="T35" i="26" s="1"/>
  <c r="R34" i="26"/>
  <c r="T34" i="26" s="1"/>
  <c r="O36" i="26"/>
  <c r="O35" i="26"/>
  <c r="O34" i="26"/>
  <c r="Q34" i="26" s="1"/>
  <c r="L35" i="26"/>
  <c r="N35" i="26" s="1"/>
  <c r="L34" i="26"/>
  <c r="F36" i="26"/>
  <c r="F35" i="26"/>
  <c r="H35" i="26" s="1"/>
  <c r="F34" i="26"/>
  <c r="V36" i="23"/>
  <c r="W36" i="23" s="1"/>
  <c r="V17" i="23"/>
  <c r="V18" i="23"/>
  <c r="W18" i="23" s="1"/>
  <c r="V19" i="23"/>
  <c r="V20" i="23"/>
  <c r="V21" i="23"/>
  <c r="V22" i="23"/>
  <c r="V23" i="23"/>
  <c r="V24" i="23"/>
  <c r="W24" i="23" s="1"/>
  <c r="V25" i="23"/>
  <c r="W25" i="23" s="1"/>
  <c r="V26" i="23"/>
  <c r="W26" i="23" s="1"/>
  <c r="V27" i="23"/>
  <c r="W27" i="23" s="1"/>
  <c r="V28" i="23"/>
  <c r="W28" i="23" s="1"/>
  <c r="V29" i="23"/>
  <c r="W29" i="23" s="1"/>
  <c r="V30" i="23"/>
  <c r="W30" i="23" s="1"/>
  <c r="V31" i="23"/>
  <c r="V32" i="23"/>
  <c r="V33" i="23"/>
  <c r="V34" i="23"/>
  <c r="V35" i="23"/>
  <c r="V16" i="23"/>
  <c r="W16" i="23" s="1"/>
  <c r="H95" i="20"/>
  <c r="I95" i="20"/>
  <c r="J95" i="20"/>
  <c r="K95" i="20"/>
  <c r="L95" i="20"/>
  <c r="M95" i="20"/>
  <c r="N95" i="20"/>
  <c r="H96" i="20"/>
  <c r="I96" i="20"/>
  <c r="J96" i="20"/>
  <c r="K96" i="20"/>
  <c r="L96" i="20"/>
  <c r="M96" i="20"/>
  <c r="N96" i="20"/>
  <c r="H97" i="20"/>
  <c r="I97" i="20"/>
  <c r="J97" i="20"/>
  <c r="K97" i="20"/>
  <c r="L97" i="20"/>
  <c r="M97" i="20"/>
  <c r="N97" i="20"/>
  <c r="H98" i="20"/>
  <c r="I98" i="20"/>
  <c r="J98" i="20"/>
  <c r="K98" i="20"/>
  <c r="L98" i="20"/>
  <c r="M98" i="20"/>
  <c r="N98" i="20"/>
  <c r="F10" i="19"/>
  <c r="F8" i="19"/>
  <c r="F10" i="33"/>
  <c r="F9" i="33"/>
  <c r="F8" i="33"/>
  <c r="F7" i="33"/>
  <c r="T36" i="23"/>
  <c r="T35" i="23"/>
  <c r="T34" i="23"/>
  <c r="T33" i="23"/>
  <c r="T32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Q36" i="23"/>
  <c r="Q35" i="23"/>
  <c r="Q34" i="23"/>
  <c r="Q33" i="23"/>
  <c r="Q32" i="23"/>
  <c r="Q31" i="23"/>
  <c r="Q30" i="23"/>
  <c r="Q29" i="23"/>
  <c r="Q28" i="23"/>
  <c r="Q27" i="23"/>
  <c r="Q26" i="23"/>
  <c r="Q25" i="23"/>
  <c r="Q24" i="23"/>
  <c r="Q23" i="23"/>
  <c r="Q22" i="23"/>
  <c r="Q21" i="23"/>
  <c r="Q20" i="23"/>
  <c r="Q19" i="23"/>
  <c r="Q18" i="23"/>
  <c r="Q17" i="23"/>
  <c r="Q16" i="23"/>
  <c r="N36" i="23"/>
  <c r="N35" i="23"/>
  <c r="N34" i="23"/>
  <c r="N33" i="23"/>
  <c r="N32" i="23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16" i="23"/>
  <c r="D6" i="29"/>
  <c r="D7" i="29"/>
  <c r="D8" i="29"/>
  <c r="D9" i="29"/>
  <c r="D10" i="29"/>
  <c r="D11" i="29"/>
  <c r="D12" i="29"/>
  <c r="D13" i="29"/>
  <c r="D14" i="29"/>
  <c r="D15" i="29"/>
  <c r="D16" i="29"/>
  <c r="D17" i="29"/>
  <c r="D5" i="29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16" i="26"/>
  <c r="C17" i="29"/>
  <c r="C16" i="29"/>
  <c r="C15" i="29"/>
  <c r="C14" i="29"/>
  <c r="C13" i="29"/>
  <c r="C12" i="29"/>
  <c r="C10" i="29"/>
  <c r="C9" i="29"/>
  <c r="C8" i="29"/>
  <c r="C7" i="29"/>
  <c r="C6" i="29"/>
  <c r="C5" i="29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16" i="26"/>
  <c r="L34" i="17"/>
  <c r="L33" i="17"/>
  <c r="L32" i="17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16" i="26"/>
  <c r="C13" i="15"/>
  <c r="E13" i="15" s="1"/>
  <c r="C14" i="15"/>
  <c r="E14" i="15" s="1"/>
  <c r="C17" i="15"/>
  <c r="E17" i="15" s="1"/>
  <c r="C19" i="15"/>
  <c r="E19" i="15" s="1"/>
  <c r="C28" i="15"/>
  <c r="D28" i="15"/>
  <c r="E28" i="15"/>
  <c r="F28" i="15"/>
  <c r="C29" i="15"/>
  <c r="D29" i="15"/>
  <c r="E29" i="15"/>
  <c r="F29" i="15"/>
  <c r="C30" i="15"/>
  <c r="D30" i="15"/>
  <c r="E30" i="15"/>
  <c r="C31" i="15"/>
  <c r="D31" i="15"/>
  <c r="E31" i="15"/>
  <c r="F31" i="15"/>
  <c r="C36" i="15"/>
  <c r="D36" i="15"/>
  <c r="E36" i="15"/>
  <c r="F36" i="15"/>
  <c r="C37" i="15"/>
  <c r="D37" i="15"/>
  <c r="E37" i="15"/>
  <c r="F37" i="15"/>
  <c r="C38" i="15"/>
  <c r="D38" i="15"/>
  <c r="E38" i="15"/>
  <c r="F38" i="15"/>
  <c r="C39" i="15"/>
  <c r="D39" i="15"/>
  <c r="E39" i="15"/>
  <c r="F39" i="15"/>
  <c r="C44" i="15"/>
  <c r="F44" i="15"/>
  <c r="D45" i="15"/>
  <c r="E45" i="15"/>
  <c r="F45" i="15"/>
  <c r="D46" i="15"/>
  <c r="E46" i="15"/>
  <c r="C47" i="15"/>
  <c r="D47" i="15"/>
  <c r="F47" i="15"/>
  <c r="E19" i="14"/>
  <c r="F19" i="14"/>
  <c r="G19" i="14"/>
  <c r="H19" i="14"/>
  <c r="I19" i="14"/>
  <c r="J19" i="14"/>
  <c r="C29" i="14"/>
  <c r="D29" i="14"/>
  <c r="E29" i="14"/>
  <c r="F29" i="14"/>
  <c r="G29" i="14"/>
  <c r="H29" i="14"/>
  <c r="I29" i="14"/>
  <c r="J29" i="14"/>
  <c r="C39" i="14"/>
  <c r="D39" i="14"/>
  <c r="E39" i="14"/>
  <c r="F39" i="14"/>
  <c r="G39" i="14"/>
  <c r="H39" i="14"/>
  <c r="I39" i="14"/>
  <c r="J39" i="14"/>
  <c r="C51" i="14"/>
  <c r="D51" i="14"/>
  <c r="F51" i="14"/>
  <c r="G51" i="14"/>
  <c r="H51" i="14"/>
  <c r="I51" i="14"/>
  <c r="J51" i="14"/>
  <c r="K51" i="14"/>
  <c r="C66" i="20"/>
  <c r="D66" i="20"/>
  <c r="E66" i="20"/>
  <c r="F66" i="20"/>
  <c r="C67" i="20"/>
  <c r="D67" i="20"/>
  <c r="E67" i="20"/>
  <c r="F67" i="20"/>
  <c r="C68" i="20"/>
  <c r="D68" i="20"/>
  <c r="E68" i="20"/>
  <c r="F68" i="20"/>
  <c r="C69" i="20"/>
  <c r="D69" i="20"/>
  <c r="E69" i="20"/>
  <c r="F69" i="20"/>
  <c r="C73" i="20"/>
  <c r="D73" i="20"/>
  <c r="E73" i="20"/>
  <c r="F73" i="20"/>
  <c r="G73" i="20"/>
  <c r="H73" i="20"/>
  <c r="I73" i="20"/>
  <c r="K73" i="20"/>
  <c r="L73" i="20"/>
  <c r="M73" i="20"/>
  <c r="N73" i="20"/>
  <c r="C74" i="20"/>
  <c r="D74" i="20"/>
  <c r="E74" i="20"/>
  <c r="F74" i="20"/>
  <c r="G74" i="20"/>
  <c r="H74" i="20"/>
  <c r="I74" i="20"/>
  <c r="K74" i="20"/>
  <c r="L74" i="20"/>
  <c r="M74" i="20"/>
  <c r="N74" i="20"/>
  <c r="C75" i="20"/>
  <c r="E75" i="20"/>
  <c r="F75" i="20"/>
  <c r="G75" i="20"/>
  <c r="H75" i="20"/>
  <c r="I75" i="20"/>
  <c r="K75" i="20"/>
  <c r="L75" i="20"/>
  <c r="M75" i="20"/>
  <c r="N75" i="20"/>
  <c r="C76" i="20"/>
  <c r="D76" i="20"/>
  <c r="E76" i="20"/>
  <c r="F76" i="20"/>
  <c r="G76" i="20"/>
  <c r="H76" i="20"/>
  <c r="I76" i="20"/>
  <c r="K76" i="20"/>
  <c r="L76" i="20"/>
  <c r="M76" i="20"/>
  <c r="N76" i="20"/>
  <c r="C81" i="20"/>
  <c r="D81" i="20"/>
  <c r="F81" i="20"/>
  <c r="G81" i="20"/>
  <c r="J81" i="20"/>
  <c r="N81" i="20"/>
  <c r="C82" i="20"/>
  <c r="D82" i="20"/>
  <c r="F82" i="20"/>
  <c r="G82" i="20"/>
  <c r="J82" i="20"/>
  <c r="N82" i="20"/>
  <c r="C83" i="20"/>
  <c r="D83" i="20"/>
  <c r="F83" i="20"/>
  <c r="G83" i="20"/>
  <c r="J83" i="20"/>
  <c r="N83" i="20"/>
  <c r="C84" i="20"/>
  <c r="D84" i="20"/>
  <c r="F84" i="20"/>
  <c r="G84" i="20"/>
  <c r="J84" i="20"/>
  <c r="N84" i="20"/>
  <c r="I88" i="20"/>
  <c r="J88" i="20"/>
  <c r="K88" i="20"/>
  <c r="I89" i="20"/>
  <c r="J89" i="20"/>
  <c r="K89" i="20"/>
  <c r="I90" i="20"/>
  <c r="J90" i="20"/>
  <c r="K90" i="20"/>
  <c r="L90" i="20"/>
  <c r="I91" i="20"/>
  <c r="J91" i="20"/>
  <c r="K91" i="20"/>
  <c r="L91" i="20"/>
  <c r="C58" i="20"/>
  <c r="G58" i="20"/>
  <c r="H58" i="20"/>
  <c r="L58" i="20"/>
  <c r="M58" i="20"/>
  <c r="N58" i="20"/>
  <c r="C59" i="20"/>
  <c r="G59" i="20"/>
  <c r="H59" i="20"/>
  <c r="L59" i="20"/>
  <c r="M59" i="20"/>
  <c r="N59" i="20"/>
  <c r="C60" i="20"/>
  <c r="G60" i="20"/>
  <c r="H60" i="20"/>
  <c r="L60" i="20"/>
  <c r="M60" i="20"/>
  <c r="N60" i="20"/>
  <c r="C61" i="20"/>
  <c r="G61" i="20"/>
  <c r="H61" i="20"/>
  <c r="L61" i="20"/>
  <c r="M61" i="20"/>
  <c r="N61" i="20"/>
  <c r="C18" i="15"/>
  <c r="E18" i="15" s="1"/>
  <c r="O6" i="18"/>
  <c r="H5" i="26"/>
  <c r="G4" i="37"/>
  <c r="H4" i="26"/>
  <c r="O5" i="18"/>
  <c r="B3" i="15"/>
  <c r="H4" i="23"/>
  <c r="H5" i="23"/>
  <c r="G5" i="37"/>
  <c r="W31" i="23" l="1"/>
  <c r="W19" i="23"/>
  <c r="W26" i="26"/>
  <c r="O110" i="20"/>
  <c r="W33" i="26"/>
  <c r="W35" i="23"/>
  <c r="W23" i="23"/>
  <c r="W34" i="23"/>
  <c r="W22" i="23"/>
  <c r="W21" i="26"/>
  <c r="O134" i="20"/>
  <c r="W17" i="26"/>
  <c r="E34" i="26"/>
  <c r="Q35" i="26"/>
  <c r="W32" i="23"/>
  <c r="W20" i="23"/>
  <c r="W16" i="26"/>
  <c r="W27" i="26"/>
  <c r="W19" i="26"/>
  <c r="O111" i="20"/>
  <c r="W23" i="26"/>
  <c r="W20" i="26"/>
  <c r="O133" i="20"/>
  <c r="W31" i="26"/>
  <c r="O131" i="20"/>
  <c r="W33" i="23"/>
  <c r="W21" i="23"/>
  <c r="O132" i="20"/>
  <c r="O75" i="20"/>
  <c r="O95" i="20"/>
  <c r="E35" i="26"/>
  <c r="O112" i="20"/>
  <c r="W18" i="26"/>
  <c r="O67" i="20"/>
  <c r="O96" i="20"/>
  <c r="O118" i="20"/>
  <c r="O68" i="20"/>
  <c r="W22" i="26"/>
  <c r="O102" i="20"/>
  <c r="O124" i="20"/>
  <c r="O127" i="20"/>
  <c r="O90" i="20"/>
  <c r="O125" i="20"/>
  <c r="O126" i="20"/>
  <c r="O84" i="20"/>
  <c r="V36" i="26"/>
  <c r="W36" i="26" s="1"/>
  <c r="K36" i="26"/>
  <c r="O104" i="20"/>
  <c r="O103" i="20"/>
  <c r="N36" i="26"/>
  <c r="O82" i="20"/>
  <c r="W17" i="23"/>
  <c r="K34" i="26"/>
  <c r="O119" i="20"/>
  <c r="O73" i="20"/>
  <c r="N34" i="26"/>
  <c r="O120" i="20"/>
  <c r="O89" i="20"/>
  <c r="O74" i="20"/>
  <c r="Q36" i="26"/>
  <c r="O113" i="20"/>
  <c r="O117" i="20"/>
  <c r="O81" i="20"/>
  <c r="O66" i="20"/>
  <c r="O76" i="20"/>
  <c r="O83" i="20"/>
  <c r="O69" i="20"/>
  <c r="W28" i="26"/>
  <c r="H34" i="26"/>
  <c r="V35" i="26"/>
  <c r="W35" i="26" s="1"/>
  <c r="O88" i="20"/>
  <c r="O97" i="20"/>
  <c r="W25" i="26"/>
  <c r="V34" i="26"/>
  <c r="W34" i="26" s="1"/>
  <c r="K35" i="26"/>
  <c r="O91" i="20"/>
  <c r="O98" i="20"/>
  <c r="W24" i="26"/>
  <c r="O105" i="20"/>
  <c r="H36" i="26"/>
  <c r="E36" i="26"/>
</calcChain>
</file>

<file path=xl/sharedStrings.xml><?xml version="1.0" encoding="utf-8"?>
<sst xmlns="http://schemas.openxmlformats.org/spreadsheetml/2006/main" count="1185" uniqueCount="305">
  <si>
    <t>FEB</t>
  </si>
  <si>
    <t>MAR</t>
  </si>
  <si>
    <t>ABR</t>
  </si>
  <si>
    <t>MAY</t>
  </si>
  <si>
    <t>JUN</t>
  </si>
  <si>
    <t>AGO</t>
  </si>
  <si>
    <t>SEP</t>
  </si>
  <si>
    <t>OCT</t>
  </si>
  <si>
    <t>NOV</t>
  </si>
  <si>
    <t>DIC</t>
  </si>
  <si>
    <t>BS. AS.-S. DE CHILE</t>
  </si>
  <si>
    <t>BS. AS.-SAN PABLO</t>
  </si>
  <si>
    <t>BS. AS.-ASUNCION</t>
  </si>
  <si>
    <t>BS. AS.-MONTEVIDEO</t>
  </si>
  <si>
    <t>ENE</t>
  </si>
  <si>
    <t>JUL</t>
  </si>
  <si>
    <t>INFORME SEMANAL DE FLETES DE PRODUCTOS AGROALIMENTARIOS</t>
  </si>
  <si>
    <t>AREA REGIMENES ESPECIALES-DIRECCION DE MERCADOS AGROALIMENTARIOS</t>
  </si>
  <si>
    <t>KILOMETROS</t>
  </si>
  <si>
    <t>VALOR   $ / TM.</t>
  </si>
  <si>
    <t>TONELAJE</t>
  </si>
  <si>
    <t>VALOR $ / TM.KM</t>
  </si>
  <si>
    <t>VALOR U$S/TM</t>
  </si>
  <si>
    <t>F. PAMPEANO</t>
  </si>
  <si>
    <t>F. PAMP.</t>
  </si>
  <si>
    <t>F. SUR ROCA S.A.</t>
  </si>
  <si>
    <t>F. SUR ROCA</t>
  </si>
  <si>
    <t>F. MESOPOT. S.A.</t>
  </si>
  <si>
    <t>F. MESOP.</t>
  </si>
  <si>
    <t>N. C. ARG. S.A.</t>
  </si>
  <si>
    <t>N. C. ARG.</t>
  </si>
  <si>
    <t>BS. AS.  PAC. S.A.</t>
  </si>
  <si>
    <t>BS. AS.  PAC.</t>
  </si>
  <si>
    <t>BELG. C. S.A.</t>
  </si>
  <si>
    <t>BELG. C.</t>
  </si>
  <si>
    <t>Total RED</t>
  </si>
  <si>
    <t>Empresa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</si>
  <si>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</si>
  <si>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</si>
  <si>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</si>
  <si>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</si>
  <si>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</si>
  <si>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</si>
  <si>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</si>
  <si>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</si>
  <si>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</si>
  <si>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</si>
  <si>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</si>
  <si>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</si>
  <si>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</si>
  <si>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</si>
  <si>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Ferroexpreso</t>
  </si>
  <si>
    <t>Dist. Media (Km.) *</t>
  </si>
  <si>
    <t>Tarifa Media ($/Ton) *</t>
  </si>
  <si>
    <t>Tarifa Media ($/Ton.Km) *</t>
  </si>
  <si>
    <t>Ferrosur</t>
  </si>
  <si>
    <t>Mesopotámico S.A.</t>
  </si>
  <si>
    <t>Nuevo Central</t>
  </si>
  <si>
    <t>Buenos Aires al</t>
  </si>
  <si>
    <t>Belgrano</t>
  </si>
  <si>
    <t>Total</t>
  </si>
  <si>
    <t>* Calculado por la CNRT</t>
  </si>
  <si>
    <t>Estimado</t>
  </si>
  <si>
    <t xml:space="preserve">CUADRO COMPARATIVO DIFERENTES KILOMETRAJES </t>
  </si>
  <si>
    <t>EMPRESA</t>
  </si>
  <si>
    <t>CONCEPTO</t>
  </si>
  <si>
    <t>Dist. media (Km)</t>
  </si>
  <si>
    <t>Tarifa media ($/Ton)</t>
  </si>
  <si>
    <t>Tarifa media ($/Ton.Km)</t>
  </si>
  <si>
    <t>TOTAL</t>
  </si>
  <si>
    <t>Cuadro elaborado por ARE - DMA</t>
  </si>
  <si>
    <t>Fuente: CNRT</t>
  </si>
  <si>
    <t>MES</t>
  </si>
  <si>
    <t>ORIGEN</t>
  </si>
  <si>
    <t>DESTINOS EUROPEOS</t>
  </si>
  <si>
    <t>ESPAÑA</t>
  </si>
  <si>
    <t>HOLANDA</t>
  </si>
  <si>
    <t>ARGENTINA</t>
  </si>
  <si>
    <t>BRASIL</t>
  </si>
  <si>
    <t>GOLFO</t>
  </si>
  <si>
    <t>s/d</t>
  </si>
  <si>
    <t>PACIFICO NORTE</t>
  </si>
  <si>
    <t>ST.LAWRENCE(x)</t>
  </si>
  <si>
    <t>EN DOLARES/TM.</t>
  </si>
  <si>
    <t>DESTINOS ASIATICOS</t>
  </si>
  <si>
    <t>MALASIA</t>
  </si>
  <si>
    <t>DESTINOS AFRICANOS</t>
  </si>
  <si>
    <t xml:space="preserve"> </t>
  </si>
  <si>
    <t xml:space="preserve">  PROMEDIOS</t>
  </si>
  <si>
    <t>AFRICA</t>
  </si>
  <si>
    <t>EUROPA</t>
  </si>
  <si>
    <t>ASIA</t>
  </si>
  <si>
    <t>PRODUCTO</t>
  </si>
  <si>
    <t>DESTINO</t>
  </si>
  <si>
    <t>BASE TRIGO</t>
  </si>
  <si>
    <t>BRASIL MEDIO</t>
  </si>
  <si>
    <t>PERU</t>
  </si>
  <si>
    <t>(x) Buques Porte 3</t>
  </si>
  <si>
    <t>Fuente: C.I.T. - AGENCIAS MARITIMAS</t>
  </si>
  <si>
    <t>PORTE : (1) 60000 TM. DE CARGA - (2)APROX. 40000 TM. DE CARGA - (3) APROX. 25000 TM. DE CARGA</t>
  </si>
  <si>
    <t>ITALIA</t>
  </si>
  <si>
    <t>ENERO</t>
  </si>
  <si>
    <t>MARZO</t>
  </si>
  <si>
    <t>ABRIL</t>
  </si>
  <si>
    <t>N. DE EUROPA</t>
  </si>
  <si>
    <t>MEDITERRANEO</t>
  </si>
  <si>
    <t>EE.UU.</t>
  </si>
  <si>
    <t>* CONTENEDORES REFRIGERADOS DE 20 PIES</t>
  </si>
  <si>
    <t>* CONTENEDORES REFRIGERADOS DE 40 PIES</t>
  </si>
  <si>
    <t>ARG.- HOLANDA</t>
  </si>
  <si>
    <t>GOLFO - HOLANDA</t>
  </si>
  <si>
    <t>ARG.- JAPON</t>
  </si>
  <si>
    <t>GOLFO - JAPON</t>
  </si>
  <si>
    <t xml:space="preserve">ORIGEN </t>
  </si>
  <si>
    <t>GRANOS</t>
  </si>
  <si>
    <t>RECONQUISTA</t>
  </si>
  <si>
    <t>SAN LORENZO</t>
  </si>
  <si>
    <t>SOJA</t>
  </si>
  <si>
    <t>CORUMBA</t>
  </si>
  <si>
    <t>N. PALMIRA</t>
  </si>
  <si>
    <t>ASUNCION</t>
  </si>
  <si>
    <t>Fuente: AGENCIAS MARITIMAS</t>
  </si>
  <si>
    <t>VALOR/KG.</t>
  </si>
  <si>
    <t>BEIRUT</t>
  </si>
  <si>
    <t>COLOMBIA (2)</t>
  </si>
  <si>
    <t>CHILE (1)</t>
  </si>
  <si>
    <t>DINAMARCA (1)</t>
  </si>
  <si>
    <t>FRANCIA</t>
  </si>
  <si>
    <t>HONG KONG</t>
  </si>
  <si>
    <t>IRAN (1)</t>
  </si>
  <si>
    <t>JORDANIA (1)</t>
  </si>
  <si>
    <t>LONDRES</t>
  </si>
  <si>
    <t>MEXICO DF (2)</t>
  </si>
  <si>
    <t>MIAMI</t>
  </si>
  <si>
    <t>NEW YORK</t>
  </si>
  <si>
    <t>SUIZA</t>
  </si>
  <si>
    <t>TOKYO (1)</t>
  </si>
  <si>
    <t>" EVOLUCION DEL VOLUMEN TRANSPORTADO ANUALMENTE DE PRODUCTOS AGROALIMENTARIOS POR FERROCARRIL "</t>
  </si>
  <si>
    <t>NUEVO CENTRAL ARGENTINO S.A.</t>
  </si>
  <si>
    <t>PRODUCTOS</t>
  </si>
  <si>
    <t>Aceite</t>
  </si>
  <si>
    <t>Azúcar</t>
  </si>
  <si>
    <t>Fruta</t>
  </si>
  <si>
    <t>Granos y Subproductos</t>
  </si>
  <si>
    <t>FERROSUR ROCA S.A.</t>
  </si>
  <si>
    <t>Granos</t>
  </si>
  <si>
    <t>FERROCARRIL MESOPOTAMICO S.A.</t>
  </si>
  <si>
    <t>FERROEXPRESO PAMPEANO S.A.</t>
  </si>
  <si>
    <t>BUENOS AIRES AL PACIFICO S.A.</t>
  </si>
  <si>
    <t>Bebidas y aceites</t>
  </si>
  <si>
    <t>POROTOS</t>
  </si>
  <si>
    <t>JUNIO 2003</t>
  </si>
  <si>
    <t>SEMANA 29-5 AL 05-6</t>
  </si>
  <si>
    <t>BELGRANOS CARGAS S.A.***</t>
  </si>
  <si>
    <t>FEBRERO</t>
  </si>
  <si>
    <t>MAYO</t>
  </si>
  <si>
    <t>JUNIO</t>
  </si>
  <si>
    <t>JULIO</t>
  </si>
  <si>
    <t>AGOSTO</t>
  </si>
  <si>
    <t>DINAMARCA(3)</t>
  </si>
  <si>
    <t>OESTE ITALIA(3)</t>
  </si>
  <si>
    <t>ESPAÑA(3)</t>
  </si>
  <si>
    <t>HOLANDA(3)</t>
  </si>
  <si>
    <t>IRAN(2)</t>
  </si>
  <si>
    <t>MALASIA(3)</t>
  </si>
  <si>
    <t>JAPON(2)</t>
  </si>
  <si>
    <t>CHINA(2)</t>
  </si>
  <si>
    <t>EGIPTO(2)</t>
  </si>
  <si>
    <t>ARGELIA(3)</t>
  </si>
  <si>
    <t>MARRUECOS(3)</t>
  </si>
  <si>
    <t>TUNEZ(3)</t>
  </si>
  <si>
    <t>PACIFICO NORTE(x)</t>
  </si>
  <si>
    <t>Cuadros elaborados por ARE - DMA -Base Granos Pesados</t>
  </si>
  <si>
    <t>OESTE ITALIA(2)</t>
  </si>
  <si>
    <t>ESPAÑA(2)</t>
  </si>
  <si>
    <t>HOLANDA(2)</t>
  </si>
  <si>
    <t>MALASIA(2)</t>
  </si>
  <si>
    <t>JAPON(1)</t>
  </si>
  <si>
    <t>CHINA(1)</t>
  </si>
  <si>
    <t>LOS VALORES PROMEDIOS CORRESPONDEN AL CONJUNTO DE PAISES DE LOS CUADROS 1-2 Y 3 SEGÚN CADA CONTINENTE</t>
  </si>
  <si>
    <t>Responsable: Carlos M Ibañez    TE: 4349 - 2266  E-MAIL:  cibane@sagpya.minproduccion.gov.ar</t>
  </si>
  <si>
    <t>Colaboradores: J. Sosa - S. Rivera -  R. Varela - D. Reynoso    TE: 4349 - 2297</t>
  </si>
  <si>
    <t>(Valores Promedio Orientativos de Granos, Carnes, Hortícolas y Frutos)</t>
  </si>
  <si>
    <t>CUADRO COMPARATIVO DIFERENTES KILOMETRAJES (ACTUALIZACION SEMANAL)</t>
  </si>
  <si>
    <t>NACIONAL - A GRANEL</t>
  </si>
  <si>
    <t>CUADRO COMPARATIVO DIFERENTES ORIGENES (ACTUALIZACION SEMANAL)</t>
  </si>
  <si>
    <t>pacifico</t>
  </si>
  <si>
    <t>PROMEDIO</t>
  </si>
  <si>
    <t>Responsable: Carlos M Ibañez    TE: 4349 - 2266  E-MAIL:  cibane@mecon.gov.ar</t>
  </si>
  <si>
    <t>S/D</t>
  </si>
  <si>
    <t>MES          SETIEMBRE 2005</t>
  </si>
  <si>
    <t>CUADRO COMPARATIVO DIFERENTES ORIGENES - MES DE SETIEMBRE  CORRESPONDIENTES A LOS AÑOS 2004 Y 2005</t>
  </si>
  <si>
    <t>CUADRO COMPARATIVO DE VALORES PROMEDIOS DE FLETES ENTRE EL MES DE SETIEMBRE DEL AÑO 2005 - 2004 -2003</t>
  </si>
  <si>
    <t>ALL MESOPOTAMICA
(Ex MESOPOTAMICO S.A.)</t>
  </si>
  <si>
    <t>ALL CENTRAL
(Ex BS. AS. AL PACIFICO S.A.)</t>
  </si>
  <si>
    <t>FERROEXPRESO PAMPEANO SA</t>
  </si>
  <si>
    <t>FERROSUR ROCA SA</t>
  </si>
  <si>
    <t>NUEVO CENTRAL ARGENTINO SA</t>
  </si>
  <si>
    <t>BELGRANO CARGAS SA</t>
  </si>
  <si>
    <t>F. ROCA</t>
  </si>
  <si>
    <t>A. MESOPOTAMICA</t>
  </si>
  <si>
    <t>NVO. CTRAL. ARG.</t>
  </si>
  <si>
    <t>A. CENTRAL</t>
  </si>
  <si>
    <t>BELGRANO</t>
  </si>
  <si>
    <t>FERROEXPRESO
PAMPEANO SA</t>
  </si>
  <si>
    <t>NUEVO CENTRAL
ARGENTINO SA</t>
  </si>
  <si>
    <t>COLOMBIA</t>
  </si>
  <si>
    <t>SEPTIEMBRE</t>
  </si>
  <si>
    <t>OCTUBRE</t>
  </si>
  <si>
    <t>NOVIEMBRE</t>
  </si>
  <si>
    <t>DICIEMBRE</t>
  </si>
  <si>
    <t>ROSARIO</t>
  </si>
  <si>
    <t>ARG.-HOLANDA</t>
  </si>
  <si>
    <t>SUDAFRICA(2)</t>
  </si>
  <si>
    <t>%</t>
  </si>
  <si>
    <t>Tarifa media ($/TN)</t>
  </si>
  <si>
    <t>Tarifa media ($/TN.Km)</t>
  </si>
  <si>
    <t>CORDOBA</t>
  </si>
  <si>
    <t>LA RIOJA</t>
  </si>
  <si>
    <t>POSADAS</t>
  </si>
  <si>
    <t>CORRIENTES</t>
  </si>
  <si>
    <t>JUJUY</t>
  </si>
  <si>
    <t>MENDOZA</t>
  </si>
  <si>
    <t>BAHIA BLANCA</t>
  </si>
  <si>
    <t>BARILOCHE</t>
  </si>
  <si>
    <t>MAR DEL PLATA</t>
  </si>
  <si>
    <t>TRELEW</t>
  </si>
  <si>
    <t>C.RIVADAVIA</t>
  </si>
  <si>
    <t>RIO NEGRO</t>
  </si>
  <si>
    <t>KM</t>
  </si>
  <si>
    <t>CAMION INTERNACIONAL  GRANEL Y EMBOLSADO</t>
  </si>
  <si>
    <t>CAMION INTERNACIONAL  REFRIGERADO</t>
  </si>
  <si>
    <t>BS. AS. LIMA</t>
  </si>
  <si>
    <t>SR. BELA ( CONOTRANS) 4301-2323</t>
  </si>
  <si>
    <t>AEREO EN PALLETS</t>
  </si>
  <si>
    <t xml:space="preserve">MAR </t>
  </si>
  <si>
    <t>SET</t>
  </si>
  <si>
    <t>LEONARDO VALDEZ 011 5288-1673   MAIL LVALDEZ@NAVICON.COM.AR</t>
  </si>
  <si>
    <r>
      <t>CAMION NACIONAL COMUN Y REFRIGERADO</t>
    </r>
    <r>
      <rPr>
        <sz val="10"/>
        <rFont val="Arial"/>
        <family val="2"/>
      </rPr>
      <t xml:space="preserve">      TRANS TRAVIRO 02322-495309 (ERNESTO)</t>
    </r>
  </si>
  <si>
    <t>CAMION NACIONAL  REFRIGERADO</t>
  </si>
  <si>
    <t xml:space="preserve">TONELAGE MAX </t>
  </si>
  <si>
    <t>VALOR $/ TM</t>
  </si>
  <si>
    <t xml:space="preserve">ABR </t>
  </si>
  <si>
    <t>ANTONIO ANDRADA 4310-1300   (ACA)</t>
  </si>
  <si>
    <t>FLETES MARITIMOS  ORIENTATIVOS DESDE ARGENTINA A BRASIL, COLOMBIA Y PERU                                                                  (ACTUALIZACION -FEBRERO)</t>
  </si>
  <si>
    <t>BARCAZAS   LEONARDO BOUZON 4324-6954</t>
  </si>
  <si>
    <t>PROMEDIO ENERO- JUNIO</t>
  </si>
  <si>
    <t>Valores de Fletes por Ferrocarril - Cuadro Comparativo 2° Semestre 2007/2008</t>
  </si>
  <si>
    <t xml:space="preserve">ALL MESOPOTAMICA
</t>
  </si>
  <si>
    <t xml:space="preserve">ALL CENTRAL
</t>
  </si>
  <si>
    <t>Colaboradores:  N. Rivera - N.Palmieri - TE: 4349 - 2297</t>
  </si>
  <si>
    <t>Colaboradores: N. Rivera - N.Palmieri - TE: 4349 - 2297</t>
  </si>
  <si>
    <t>ST. LAWRENCE</t>
  </si>
  <si>
    <t>DINAMARCA</t>
  </si>
  <si>
    <t>OESTE ITALIA</t>
  </si>
  <si>
    <t>IRAN</t>
  </si>
  <si>
    <t>JAPON</t>
  </si>
  <si>
    <t>CHINA</t>
  </si>
  <si>
    <t>EGIPTO</t>
  </si>
  <si>
    <t>ARGELIA</t>
  </si>
  <si>
    <t>MARRUECOS</t>
  </si>
  <si>
    <t>TUNEZ</t>
  </si>
  <si>
    <t>SUDAFRICA</t>
  </si>
  <si>
    <t>PROMEDIO JULIO-DICIEMBRE</t>
  </si>
  <si>
    <t>Valores de Fletes por Ferrocarril - Cuadro Comparativo 1° Semestre 2008/2009</t>
  </si>
  <si>
    <t>INFORME RICARDO</t>
  </si>
  <si>
    <t>Responsable: Carlos M Ibañez    TE: 4349 - 2266  E-MAIL:  cibane@minagri.gob.ar</t>
  </si>
  <si>
    <t>Valores de Fletes Maritimos - Cuadro Comparativo Diciembre de 08/ Diciembre 09</t>
  </si>
  <si>
    <t>PROMEDIO TOTAL</t>
  </si>
  <si>
    <t>TERRESTRE - FERROCARRIL/2009</t>
  </si>
  <si>
    <t>TOTAL ANUAL 2009</t>
  </si>
  <si>
    <t>Colaboradores: S. Rossi - N.Palmieri  - TE: 4349 - 2297</t>
  </si>
  <si>
    <t>PROMEDO</t>
  </si>
  <si>
    <t>INDONESIA</t>
  </si>
  <si>
    <t>20 KM</t>
  </si>
  <si>
    <t>300 KM</t>
  </si>
  <si>
    <t>500 KM</t>
  </si>
  <si>
    <t>750 KM</t>
  </si>
  <si>
    <t>POLONIA</t>
  </si>
  <si>
    <t>todas semanas =</t>
  </si>
  <si>
    <t>43.01</t>
  </si>
  <si>
    <t>VIETNAM</t>
  </si>
  <si>
    <t>USA</t>
  </si>
  <si>
    <t>CANADA</t>
  </si>
  <si>
    <t>UCRANIA</t>
  </si>
  <si>
    <t>RUSIA</t>
  </si>
  <si>
    <t>TURQUIA</t>
  </si>
  <si>
    <t>FILIPINAS</t>
  </si>
  <si>
    <t>ARABIA SAUDI</t>
  </si>
  <si>
    <t>TAILANDIA</t>
  </si>
  <si>
    <t>TAIWAN</t>
  </si>
  <si>
    <t xml:space="preserve">AUSTRALIA Sudeste </t>
  </si>
  <si>
    <t>MEXICO</t>
  </si>
  <si>
    <t>BELGICA</t>
  </si>
  <si>
    <t>ALEMANIA</t>
  </si>
  <si>
    <t>PAISES BAJOS</t>
  </si>
  <si>
    <t>ESLOVENIA</t>
  </si>
  <si>
    <t xml:space="preserve">COLOMBIA </t>
  </si>
  <si>
    <t>NIGERIA</t>
  </si>
  <si>
    <t>COREA DEL SUR</t>
  </si>
  <si>
    <t>ÁFRICA</t>
  </si>
  <si>
    <t>AMÉRICA</t>
  </si>
  <si>
    <t>OCEANÍA</t>
  </si>
  <si>
    <t>Cereales pesados, sorgo y soja. Todos los valores se expresan en dólares estadounidenses por tonelada métrica.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</si>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</sst>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&quot;$&quot;\ #,##0;[Red]&quot;$&quot;\ \-#,##0"/>
    <numFmt numFmtId="165" formatCode="0.0000"/>
    <numFmt numFmtId="166" formatCode="0.000"/>
    <numFmt numFmtId="167" formatCode="0;[Red]0"/>
    <numFmt numFmtId="168" formatCode="&quot;$&quot;#,##0.0"/>
    <numFmt numFmtId="169" formatCode="#,##0.0000"/>
    <numFmt numFmtId="170" formatCode="&quot;$&quot;#,##0.0000"/>
    <numFmt numFmtId="171" formatCode="0.0"/>
    <numFmt numFmtId="172" formatCode="[$$-2C0A]\ #,##0.0"/>
    <numFmt numFmtId="173" formatCode="[$-2C0A]d&quot; de &quot;mmmm&quot; de &quot;yyyy;@"/>
  </numFmts>
  <fonts count="7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8"/>
      <name val="Britannic Bold"/>
      <family val="2"/>
    </font>
    <font>
      <b/>
      <sz val="12"/>
      <name val="Arial Rounded MT Bold"/>
      <family val="2"/>
    </font>
    <font>
      <sz val="10"/>
      <name val="Arial Rounded MT Bold"/>
      <family val="2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u val="double"/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i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CG Omega"/>
      <family val="2"/>
    </font>
    <font>
      <sz val="10"/>
      <name val="CG Omega"/>
      <family val="2"/>
    </font>
    <font>
      <sz val="10"/>
      <color indexed="10"/>
      <name val="CG Omega"/>
      <family val="2"/>
    </font>
    <font>
      <b/>
      <i/>
      <sz val="14"/>
      <name val="Bookman Old Style"/>
      <family val="1"/>
    </font>
    <font>
      <b/>
      <i/>
      <sz val="16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6"/>
      <name val="Arial"/>
      <family val="2"/>
    </font>
    <font>
      <b/>
      <sz val="12"/>
      <name val="Arial Narrow"/>
      <family val="2"/>
    </font>
    <font>
      <b/>
      <i/>
      <sz val="10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b/>
      <sz val="10"/>
      <color indexed="10"/>
      <name val="CG Omega"/>
      <family val="2"/>
    </font>
    <font>
      <sz val="8"/>
      <name val="CG Omega"/>
      <family val="2"/>
    </font>
    <font>
      <b/>
      <i/>
      <u/>
      <sz val="9"/>
      <name val="Arial"/>
      <family val="2"/>
    </font>
    <font>
      <b/>
      <i/>
      <sz val="9"/>
      <color indexed="12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 Rounded MT Bold"/>
      <family val="2"/>
    </font>
    <font>
      <b/>
      <i/>
      <sz val="14"/>
      <name val="Arial"/>
      <family val="2"/>
    </font>
    <font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 Rounded MT Bold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1"/>
      <name val="CG Omega"/>
      <family val="2"/>
    </font>
    <font>
      <b/>
      <i/>
      <sz val="20"/>
      <name val="Arial"/>
      <family val="2"/>
    </font>
    <font>
      <b/>
      <sz val="18"/>
      <name val="Lucida Console"/>
      <family val="3"/>
    </font>
    <font>
      <sz val="16"/>
      <name val="Arial"/>
      <family val="2"/>
    </font>
    <font>
      <b/>
      <sz val="16"/>
      <name val="Arial Rounded MT Bold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 Rounded MT Bold"/>
      <family val="2"/>
    </font>
    <font>
      <b/>
      <sz val="15"/>
      <name val="Arial"/>
      <family val="2"/>
    </font>
    <font>
      <b/>
      <sz val="22"/>
      <name val="Arial"/>
      <family val="2"/>
    </font>
    <font>
      <sz val="11"/>
      <color indexed="10"/>
      <name val="CG Omega"/>
      <family val="2"/>
    </font>
    <font>
      <b/>
      <u/>
      <sz val="16"/>
      <color indexed="56"/>
      <name val="Arial"/>
      <family val="2"/>
    </font>
    <font>
      <sz val="10"/>
      <color indexed="49"/>
      <name val="Arial"/>
      <family val="2"/>
    </font>
    <font>
      <b/>
      <i/>
      <u/>
      <sz val="14"/>
      <name val="Arial"/>
      <family val="2"/>
    </font>
    <font>
      <b/>
      <sz val="20"/>
      <name val="Arial"/>
      <family val="2"/>
    </font>
    <font>
      <b/>
      <sz val="14"/>
      <name val="Nirmala UI"/>
      <family val="2"/>
    </font>
    <font>
      <b/>
      <sz val="10"/>
      <name val="Nirmala UI"/>
      <family val="2"/>
    </font>
    <font>
      <sz val="11"/>
      <color theme="1"/>
      <name val="Nirmala U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1">
    <xf numFmtId="0" fontId="0" fillId="0" borderId="0"/>
    <xf numFmtId="9" fontId="9" fillId="0" borderId="0" applyFont="0" applyFill="0" applyBorder="0" applyAlignment="0" applyProtection="0"/>
    <xf numFmtId="0" fontId="8" fillId="0" borderId="0"/>
    <xf numFmtId="0" fontId="9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94">
    <xf numFmtId="0" fontId="0" fillId="0" borderId="0" xfId="0"/>
    <xf numFmtId="0" fontId="0" fillId="0" borderId="0" xfId="0" applyBorder="1"/>
    <xf numFmtId="0" fontId="12" fillId="0" borderId="0" xfId="0" applyFont="1" applyBorder="1"/>
    <xf numFmtId="2" fontId="0" fillId="0" borderId="0" xfId="0" applyNumberFormat="1" applyBorder="1"/>
    <xf numFmtId="10" fontId="0" fillId="0" borderId="0" xfId="0" applyNumberFormat="1" applyBorder="1"/>
    <xf numFmtId="0" fontId="13" fillId="0" borderId="0" xfId="0" quotePrefix="1" applyFont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14" fillId="0" borderId="0" xfId="0" applyFont="1" applyBorder="1"/>
    <xf numFmtId="0" fontId="0" fillId="0" borderId="0" xfId="0" applyBorder="1" applyAlignment="1">
      <alignment horizontal="left"/>
    </xf>
    <xf numFmtId="0" fontId="15" fillId="0" borderId="0" xfId="0" applyFont="1" applyBorder="1"/>
    <xf numFmtId="2" fontId="15" fillId="0" borderId="0" xfId="0" applyNumberFormat="1" applyFont="1" applyBorder="1"/>
    <xf numFmtId="0" fontId="21" fillId="0" borderId="0" xfId="0" applyFont="1"/>
    <xf numFmtId="0" fontId="11" fillId="0" borderId="0" xfId="0" applyFont="1" applyBorder="1"/>
    <xf numFmtId="0" fontId="10" fillId="0" borderId="0" xfId="0" applyFont="1" applyBorder="1" applyAlignment="1">
      <alignment horizontal="center"/>
    </xf>
    <xf numFmtId="0" fontId="23" fillId="0" borderId="1" xfId="0" applyFont="1" applyFill="1" applyBorder="1" applyAlignment="1">
      <alignment horizontal="left"/>
    </xf>
    <xf numFmtId="0" fontId="23" fillId="0" borderId="2" xfId="0" applyFont="1" applyFill="1" applyBorder="1" applyAlignment="1">
      <alignment horizontal="center"/>
    </xf>
    <xf numFmtId="4" fontId="24" fillId="0" borderId="1" xfId="0" applyNumberFormat="1" applyFont="1" applyFill="1" applyBorder="1" applyAlignment="1">
      <alignment horizontal="right"/>
    </xf>
    <xf numFmtId="0" fontId="24" fillId="0" borderId="1" xfId="0" applyNumberFormat="1" applyFont="1" applyFill="1" applyBorder="1" applyAlignment="1">
      <alignment horizontal="right"/>
    </xf>
    <xf numFmtId="4" fontId="25" fillId="0" borderId="1" xfId="0" applyNumberFormat="1" applyFont="1" applyFill="1" applyBorder="1" applyAlignment="1">
      <alignment horizontal="right"/>
    </xf>
    <xf numFmtId="0" fontId="25" fillId="0" borderId="1" xfId="0" applyNumberFormat="1" applyFont="1" applyFill="1" applyBorder="1" applyAlignment="1">
      <alignment horizontal="right"/>
    </xf>
    <xf numFmtId="0" fontId="23" fillId="0" borderId="3" xfId="0" applyFont="1" applyFill="1" applyBorder="1" applyAlignment="1">
      <alignment horizontal="center"/>
    </xf>
    <xf numFmtId="0" fontId="23" fillId="0" borderId="4" xfId="0" applyFont="1" applyFill="1" applyBorder="1" applyAlignment="1">
      <alignment horizontal="left"/>
    </xf>
    <xf numFmtId="0" fontId="25" fillId="0" borderId="4" xfId="0" applyNumberFormat="1" applyFont="1" applyFill="1" applyBorder="1" applyAlignment="1">
      <alignment horizontal="right"/>
    </xf>
    <xf numFmtId="0" fontId="0" fillId="0" borderId="5" xfId="0" applyBorder="1"/>
    <xf numFmtId="9" fontId="0" fillId="0" borderId="0" xfId="0" applyNumberFormat="1" applyBorder="1"/>
    <xf numFmtId="0" fontId="15" fillId="0" borderId="2" xfId="0" applyFont="1" applyBorder="1"/>
    <xf numFmtId="0" fontId="15" fillId="0" borderId="3" xfId="0" applyFont="1" applyBorder="1"/>
    <xf numFmtId="0" fontId="15" fillId="0" borderId="6" xfId="0" applyFont="1" applyBorder="1"/>
    <xf numFmtId="2" fontId="15" fillId="0" borderId="7" xfId="0" applyNumberFormat="1" applyFont="1" applyBorder="1" applyAlignment="1">
      <alignment horizontal="center"/>
    </xf>
    <xf numFmtId="0" fontId="15" fillId="0" borderId="8" xfId="0" applyFont="1" applyBorder="1"/>
    <xf numFmtId="2" fontId="15" fillId="0" borderId="9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26" fillId="0" borderId="0" xfId="0" applyFont="1" applyBorder="1" applyAlignment="1">
      <alignment horizontal="center" vertical="center"/>
    </xf>
    <xf numFmtId="0" fontId="11" fillId="0" borderId="12" xfId="0" applyFont="1" applyBorder="1"/>
    <xf numFmtId="0" fontId="0" fillId="0" borderId="0" xfId="0" applyBorder="1" applyAlignment="1">
      <alignment horizontal="center"/>
    </xf>
    <xf numFmtId="0" fontId="0" fillId="0" borderId="13" xfId="0" applyBorder="1"/>
    <xf numFmtId="2" fontId="15" fillId="0" borderId="14" xfId="0" applyNumberFormat="1" applyFont="1" applyBorder="1"/>
    <xf numFmtId="0" fontId="11" fillId="0" borderId="0" xfId="0" applyFont="1" applyBorder="1" applyAlignment="1">
      <alignment horizontal="right"/>
    </xf>
    <xf numFmtId="0" fontId="0" fillId="0" borderId="15" xfId="0" applyBorder="1"/>
    <xf numFmtId="0" fontId="22" fillId="0" borderId="0" xfId="0" applyFont="1" applyAlignment="1">
      <alignment horizontal="left"/>
    </xf>
    <xf numFmtId="0" fontId="0" fillId="0" borderId="0" xfId="0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49" fontId="11" fillId="0" borderId="5" xfId="0" applyNumberFormat="1" applyFont="1" applyBorder="1" applyAlignment="1">
      <alignment horizontal="right"/>
    </xf>
    <xf numFmtId="0" fontId="0" fillId="0" borderId="16" xfId="0" applyBorder="1"/>
    <xf numFmtId="0" fontId="11" fillId="0" borderId="5" xfId="0" applyFont="1" applyBorder="1" applyAlignment="1">
      <alignment horizontal="right"/>
    </xf>
    <xf numFmtId="2" fontId="0" fillId="0" borderId="0" xfId="0" applyNumberFormat="1"/>
    <xf numFmtId="165" fontId="31" fillId="0" borderId="17" xfId="0" applyNumberFormat="1" applyFont="1" applyFill="1" applyBorder="1" applyAlignment="1">
      <alignment horizontal="center" vertical="center"/>
    </xf>
    <xf numFmtId="165" fontId="30" fillId="0" borderId="17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2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center"/>
    </xf>
    <xf numFmtId="0" fontId="24" fillId="0" borderId="0" xfId="0" applyFont="1" applyFill="1" applyBorder="1"/>
    <xf numFmtId="4" fontId="25" fillId="0" borderId="21" xfId="0" applyNumberFormat="1" applyFont="1" applyFill="1" applyBorder="1" applyAlignment="1">
      <alignment horizontal="right"/>
    </xf>
    <xf numFmtId="0" fontId="25" fillId="0" borderId="21" xfId="0" applyNumberFormat="1" applyFont="1" applyFill="1" applyBorder="1" applyAlignment="1">
      <alignment horizontal="right"/>
    </xf>
    <xf numFmtId="0" fontId="23" fillId="0" borderId="22" xfId="0" applyFont="1" applyFill="1" applyBorder="1" applyAlignment="1">
      <alignment horizontal="left"/>
    </xf>
    <xf numFmtId="0" fontId="24" fillId="0" borderId="22" xfId="0" applyNumberFormat="1" applyFont="1" applyFill="1" applyBorder="1" applyAlignment="1">
      <alignment horizontal="right"/>
    </xf>
    <xf numFmtId="0" fontId="25" fillId="0" borderId="23" xfId="0" applyNumberFormat="1" applyFont="1" applyFill="1" applyBorder="1" applyAlignment="1">
      <alignment horizontal="right"/>
    </xf>
    <xf numFmtId="0" fontId="24" fillId="0" borderId="4" xfId="0" applyNumberFormat="1" applyFont="1" applyFill="1" applyBorder="1" applyAlignment="1">
      <alignment horizontal="right"/>
    </xf>
    <xf numFmtId="0" fontId="25" fillId="0" borderId="17" xfId="0" applyNumberFormat="1" applyFont="1" applyFill="1" applyBorder="1" applyAlignment="1">
      <alignment horizontal="right"/>
    </xf>
    <xf numFmtId="168" fontId="25" fillId="0" borderId="21" xfId="0" applyNumberFormat="1" applyFont="1" applyFill="1" applyBorder="1" applyAlignment="1">
      <alignment horizontal="right"/>
    </xf>
    <xf numFmtId="170" fontId="25" fillId="0" borderId="17" xfId="0" applyNumberFormat="1" applyFont="1" applyFill="1" applyBorder="1" applyAlignment="1">
      <alignment horizontal="right"/>
    </xf>
    <xf numFmtId="4" fontId="38" fillId="0" borderId="21" xfId="0" applyNumberFormat="1" applyFont="1" applyFill="1" applyBorder="1" applyAlignment="1">
      <alignment horizontal="right"/>
    </xf>
    <xf numFmtId="0" fontId="38" fillId="0" borderId="21" xfId="0" applyNumberFormat="1" applyFont="1" applyFill="1" applyBorder="1" applyAlignment="1">
      <alignment horizontal="right"/>
    </xf>
    <xf numFmtId="0" fontId="38" fillId="0" borderId="17" xfId="0" applyNumberFormat="1" applyFont="1" applyFill="1" applyBorder="1" applyAlignment="1">
      <alignment horizontal="right"/>
    </xf>
    <xf numFmtId="0" fontId="39" fillId="0" borderId="14" xfId="0" applyFont="1" applyFill="1" applyBorder="1"/>
    <xf numFmtId="0" fontId="23" fillId="0" borderId="14" xfId="0" applyFont="1" applyFill="1" applyBorder="1" applyAlignment="1">
      <alignment horizontal="left"/>
    </xf>
    <xf numFmtId="0" fontId="24" fillId="0" borderId="14" xfId="0" applyFont="1" applyFill="1" applyBorder="1"/>
    <xf numFmtId="0" fontId="23" fillId="0" borderId="0" xfId="0" applyFont="1" applyFill="1" applyBorder="1"/>
    <xf numFmtId="0" fontId="23" fillId="3" borderId="0" xfId="0" applyFont="1" applyFill="1" applyBorder="1"/>
    <xf numFmtId="0" fontId="0" fillId="0" borderId="24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5" fillId="2" borderId="25" xfId="0" applyFont="1" applyFill="1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15" fillId="2" borderId="27" xfId="0" applyFont="1" applyFill="1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28" xfId="0" applyBorder="1" applyAlignment="1">
      <alignment horizontal="centerContinuous" vertical="center"/>
    </xf>
    <xf numFmtId="0" fontId="0" fillId="0" borderId="29" xfId="0" applyBorder="1" applyAlignment="1">
      <alignment horizontal="centerContinuous" vertical="center"/>
    </xf>
    <xf numFmtId="0" fontId="0" fillId="0" borderId="30" xfId="0" applyBorder="1" applyAlignment="1">
      <alignment horizontal="centerContinuous" vertical="center"/>
    </xf>
    <xf numFmtId="10" fontId="15" fillId="2" borderId="31" xfId="0" applyNumberFormat="1" applyFont="1" applyFill="1" applyBorder="1" applyAlignment="1">
      <alignment horizontal="centerContinuous" vertical="center"/>
    </xf>
    <xf numFmtId="0" fontId="37" fillId="0" borderId="0" xfId="0" applyFont="1" applyFill="1" applyBorder="1" applyAlignment="1">
      <alignment horizontal="centerContinuous" vertical="center"/>
    </xf>
    <xf numFmtId="165" fontId="31" fillId="0" borderId="17" xfId="0" applyNumberFormat="1" applyFont="1" applyFill="1" applyBorder="1" applyAlignment="1">
      <alignment horizontal="right"/>
    </xf>
    <xf numFmtId="165" fontId="30" fillId="0" borderId="17" xfId="0" applyNumberFormat="1" applyFont="1" applyFill="1" applyBorder="1" applyAlignment="1">
      <alignment horizontal="right"/>
    </xf>
    <xf numFmtId="0" fontId="40" fillId="0" borderId="0" xfId="0" applyFont="1" applyBorder="1" applyAlignment="1">
      <alignment horizontal="centerContinuous"/>
    </xf>
    <xf numFmtId="0" fontId="40" fillId="0" borderId="0" xfId="0" applyFont="1" applyBorder="1"/>
    <xf numFmtId="0" fontId="28" fillId="0" borderId="32" xfId="0" applyFont="1" applyFill="1" applyBorder="1" applyAlignment="1">
      <alignment horizontal="center"/>
    </xf>
    <xf numFmtId="0" fontId="28" fillId="0" borderId="33" xfId="0" applyFont="1" applyFill="1" applyBorder="1" applyAlignment="1">
      <alignment horizontal="center"/>
    </xf>
    <xf numFmtId="0" fontId="28" fillId="0" borderId="34" xfId="0" applyFont="1" applyFill="1" applyBorder="1" applyAlignment="1">
      <alignment horizontal="center"/>
    </xf>
    <xf numFmtId="0" fontId="28" fillId="0" borderId="10" xfId="0" applyFont="1" applyBorder="1"/>
    <xf numFmtId="1" fontId="14" fillId="0" borderId="1" xfId="0" applyNumberFormat="1" applyFont="1" applyBorder="1" applyAlignment="1">
      <alignment horizontal="center"/>
    </xf>
    <xf numFmtId="1" fontId="14" fillId="0" borderId="21" xfId="0" applyNumberFormat="1" applyFont="1" applyBorder="1" applyAlignment="1">
      <alignment horizontal="center"/>
    </xf>
    <xf numFmtId="0" fontId="28" fillId="0" borderId="35" xfId="0" applyFont="1" applyBorder="1"/>
    <xf numFmtId="1" fontId="14" fillId="0" borderId="22" xfId="0" applyNumberFormat="1" applyFont="1" applyBorder="1" applyAlignment="1">
      <alignment horizontal="center"/>
    </xf>
    <xf numFmtId="1" fontId="14" fillId="0" borderId="23" xfId="0" applyNumberFormat="1" applyFont="1" applyBorder="1" applyAlignment="1">
      <alignment horizontal="center"/>
    </xf>
    <xf numFmtId="0" fontId="28" fillId="0" borderId="36" xfId="0" applyFont="1" applyBorder="1"/>
    <xf numFmtId="1" fontId="28" fillId="0" borderId="4" xfId="0" applyNumberFormat="1" applyFont="1" applyBorder="1" applyAlignment="1">
      <alignment horizontal="center"/>
    </xf>
    <xf numFmtId="1" fontId="28" fillId="0" borderId="17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28" fillId="0" borderId="32" xfId="0" applyFont="1" applyBorder="1"/>
    <xf numFmtId="0" fontId="28" fillId="0" borderId="3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/>
    <xf numFmtId="1" fontId="14" fillId="0" borderId="0" xfId="0" applyNumberFormat="1" applyFont="1" applyBorder="1" applyAlignment="1">
      <alignment horizontal="center"/>
    </xf>
    <xf numFmtId="1" fontId="28" fillId="0" borderId="0" xfId="0" applyNumberFormat="1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1" fontId="28" fillId="0" borderId="22" xfId="0" applyNumberFormat="1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167" fontId="14" fillId="0" borderId="21" xfId="0" applyNumberFormat="1" applyFont="1" applyBorder="1" applyAlignment="1">
      <alignment horizontal="center"/>
    </xf>
    <xf numFmtId="167" fontId="28" fillId="0" borderId="4" xfId="0" applyNumberFormat="1" applyFont="1" applyBorder="1" applyAlignment="1">
      <alignment horizontal="center"/>
    </xf>
    <xf numFmtId="167" fontId="28" fillId="0" borderId="17" xfId="0" applyNumberFormat="1" applyFont="1" applyBorder="1" applyAlignment="1">
      <alignment horizontal="center"/>
    </xf>
    <xf numFmtId="167" fontId="14" fillId="0" borderId="0" xfId="0" applyNumberFormat="1" applyFont="1" applyBorder="1" applyAlignment="1">
      <alignment horizontal="center"/>
    </xf>
    <xf numFmtId="167" fontId="28" fillId="0" borderId="0" xfId="0" applyNumberFormat="1" applyFont="1" applyBorder="1" applyAlignment="1">
      <alignment horizontal="center"/>
    </xf>
    <xf numFmtId="1" fontId="28" fillId="0" borderId="23" xfId="0" applyNumberFormat="1" applyFont="1" applyBorder="1" applyAlignment="1">
      <alignment horizontal="center"/>
    </xf>
    <xf numFmtId="0" fontId="18" fillId="0" borderId="0" xfId="0" applyFont="1" applyBorder="1"/>
    <xf numFmtId="0" fontId="18" fillId="0" borderId="0" xfId="0" applyFont="1"/>
    <xf numFmtId="0" fontId="20" fillId="0" borderId="0" xfId="0" applyFont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1" fontId="20" fillId="0" borderId="0" xfId="0" applyNumberFormat="1" applyFont="1" applyBorder="1" applyAlignment="1">
      <alignment horizontal="center"/>
    </xf>
    <xf numFmtId="0" fontId="20" fillId="0" borderId="0" xfId="0" applyFont="1" applyBorder="1"/>
    <xf numFmtId="2" fontId="15" fillId="0" borderId="37" xfId="0" applyNumberFormat="1" applyFont="1" applyBorder="1" applyAlignment="1">
      <alignment horizontal="center"/>
    </xf>
    <xf numFmtId="2" fontId="15" fillId="0" borderId="38" xfId="0" applyNumberFormat="1" applyFont="1" applyBorder="1" applyAlignment="1">
      <alignment horizontal="center"/>
    </xf>
    <xf numFmtId="0" fontId="22" fillId="0" borderId="0" xfId="0" applyFont="1"/>
    <xf numFmtId="0" fontId="0" fillId="0" borderId="0" xfId="0" applyAlignment="1">
      <alignment horizontal="left"/>
    </xf>
    <xf numFmtId="0" fontId="0" fillId="0" borderId="39" xfId="0" applyBorder="1"/>
    <xf numFmtId="0" fontId="0" fillId="0" borderId="40" xfId="0" applyBorder="1"/>
    <xf numFmtId="0" fontId="11" fillId="0" borderId="0" xfId="0" applyFont="1" applyBorder="1" applyAlignment="1">
      <alignment horizontal="center"/>
    </xf>
    <xf numFmtId="0" fontId="21" fillId="0" borderId="0" xfId="0" applyFont="1" applyBorder="1"/>
    <xf numFmtId="0" fontId="35" fillId="0" borderId="0" xfId="0" applyFont="1"/>
    <xf numFmtId="0" fontId="42" fillId="0" borderId="0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0" fontId="46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centerContinuous"/>
    </xf>
    <xf numFmtId="0" fontId="42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20" fillId="0" borderId="6" xfId="0" applyFont="1" applyBorder="1" applyAlignment="1">
      <alignment horizontal="center"/>
    </xf>
    <xf numFmtId="2" fontId="20" fillId="0" borderId="6" xfId="0" applyNumberFormat="1" applyFont="1" applyBorder="1" applyAlignment="1">
      <alignment horizontal="center"/>
    </xf>
    <xf numFmtId="2" fontId="20" fillId="0" borderId="8" xfId="0" applyNumberFormat="1" applyFont="1" applyBorder="1" applyAlignment="1">
      <alignment horizontal="center"/>
    </xf>
    <xf numFmtId="0" fontId="27" fillId="0" borderId="0" xfId="0" applyFont="1" applyBorder="1" applyAlignment="1">
      <alignment horizontal="centerContinuous"/>
    </xf>
    <xf numFmtId="0" fontId="17" fillId="0" borderId="0" xfId="0" applyFont="1" applyAlignment="1">
      <alignment vertical="top"/>
    </xf>
    <xf numFmtId="0" fontId="31" fillId="0" borderId="0" xfId="0" applyFont="1" applyBorder="1"/>
    <xf numFmtId="0" fontId="30" fillId="0" borderId="43" xfId="0" applyFont="1" applyBorder="1"/>
    <xf numFmtId="0" fontId="31" fillId="0" borderId="15" xfId="0" applyFont="1" applyBorder="1"/>
    <xf numFmtId="0" fontId="30" fillId="0" borderId="44" xfId="0" applyFont="1" applyBorder="1"/>
    <xf numFmtId="0" fontId="30" fillId="0" borderId="45" xfId="0" applyFont="1" applyBorder="1"/>
    <xf numFmtId="0" fontId="31" fillId="0" borderId="39" xfId="0" applyFont="1" applyBorder="1"/>
    <xf numFmtId="0" fontId="0" fillId="0" borderId="0" xfId="0" applyFill="1" applyBorder="1"/>
    <xf numFmtId="1" fontId="20" fillId="0" borderId="0" xfId="0" applyNumberFormat="1" applyFont="1" applyFill="1" applyBorder="1" applyAlignment="1">
      <alignment horizontal="center"/>
    </xf>
    <xf numFmtId="166" fontId="31" fillId="0" borderId="46" xfId="0" applyNumberFormat="1" applyFont="1" applyFill="1" applyBorder="1" applyAlignment="1">
      <alignment horizontal="center" vertical="center"/>
    </xf>
    <xf numFmtId="166" fontId="31" fillId="0" borderId="47" xfId="0" applyNumberFormat="1" applyFont="1" applyFill="1" applyBorder="1" applyAlignment="1">
      <alignment horizontal="center" vertical="center"/>
    </xf>
    <xf numFmtId="166" fontId="31" fillId="0" borderId="1" xfId="0" applyNumberFormat="1" applyFont="1" applyFill="1" applyBorder="1" applyAlignment="1">
      <alignment horizontal="center" vertical="center"/>
    </xf>
    <xf numFmtId="166" fontId="31" fillId="0" borderId="48" xfId="0" applyNumberFormat="1" applyFont="1" applyFill="1" applyBorder="1" applyAlignment="1">
      <alignment horizontal="center" vertical="center"/>
    </xf>
    <xf numFmtId="166" fontId="31" fillId="0" borderId="4" xfId="0" applyNumberFormat="1" applyFont="1" applyFill="1" applyBorder="1" applyAlignment="1">
      <alignment horizontal="center" vertical="center"/>
    </xf>
    <xf numFmtId="166" fontId="31" fillId="0" borderId="49" xfId="0" applyNumberFormat="1" applyFont="1" applyFill="1" applyBorder="1" applyAlignment="1">
      <alignment horizontal="center" vertical="center"/>
    </xf>
    <xf numFmtId="166" fontId="31" fillId="0" borderId="33" xfId="0" applyNumberFormat="1" applyFont="1" applyFill="1" applyBorder="1" applyAlignment="1">
      <alignment horizontal="center" vertical="center"/>
    </xf>
    <xf numFmtId="166" fontId="31" fillId="0" borderId="50" xfId="0" applyNumberFormat="1" applyFont="1" applyFill="1" applyBorder="1" applyAlignment="1">
      <alignment horizontal="center" vertical="center"/>
    </xf>
    <xf numFmtId="166" fontId="31" fillId="0" borderId="17" xfId="0" applyNumberFormat="1" applyFont="1" applyFill="1" applyBorder="1" applyAlignment="1">
      <alignment horizontal="center" vertical="center"/>
    </xf>
    <xf numFmtId="166" fontId="30" fillId="0" borderId="33" xfId="0" applyNumberFormat="1" applyFont="1" applyFill="1" applyBorder="1" applyAlignment="1">
      <alignment horizontal="center" vertical="center"/>
    </xf>
    <xf numFmtId="166" fontId="30" fillId="0" borderId="50" xfId="0" applyNumberFormat="1" applyFont="1" applyFill="1" applyBorder="1" applyAlignment="1">
      <alignment horizontal="center" vertical="center"/>
    </xf>
    <xf numFmtId="166" fontId="30" fillId="0" borderId="1" xfId="0" applyNumberFormat="1" applyFont="1" applyFill="1" applyBorder="1" applyAlignment="1">
      <alignment horizontal="center" vertical="center"/>
    </xf>
    <xf numFmtId="166" fontId="30" fillId="0" borderId="48" xfId="0" applyNumberFormat="1" applyFont="1" applyFill="1" applyBorder="1" applyAlignment="1">
      <alignment horizontal="center" vertical="center"/>
    </xf>
    <xf numFmtId="166" fontId="30" fillId="0" borderId="4" xfId="0" applyNumberFormat="1" applyFont="1" applyFill="1" applyBorder="1" applyAlignment="1">
      <alignment horizontal="center" vertical="center"/>
    </xf>
    <xf numFmtId="166" fontId="30" fillId="0" borderId="49" xfId="0" applyNumberFormat="1" applyFont="1" applyFill="1" applyBorder="1" applyAlignment="1">
      <alignment horizontal="center" vertical="center"/>
    </xf>
    <xf numFmtId="0" fontId="15" fillId="2" borderId="50" xfId="0" applyFont="1" applyFill="1" applyBorder="1" applyAlignment="1">
      <alignment horizontal="centerContinuous" vertical="center"/>
    </xf>
    <xf numFmtId="0" fontId="15" fillId="2" borderId="24" xfId="0" applyFont="1" applyFill="1" applyBorder="1" applyAlignment="1">
      <alignment horizontal="centerContinuous" vertical="center"/>
    </xf>
    <xf numFmtId="0" fontId="0" fillId="0" borderId="51" xfId="0" applyBorder="1"/>
    <xf numFmtId="10" fontId="15" fillId="2" borderId="52" xfId="0" applyNumberFormat="1" applyFont="1" applyFill="1" applyBorder="1" applyAlignment="1">
      <alignment horizontal="centerContinuous" vertical="center"/>
    </xf>
    <xf numFmtId="10" fontId="15" fillId="2" borderId="53" xfId="0" applyNumberFormat="1" applyFont="1" applyFill="1" applyBorder="1" applyAlignment="1">
      <alignment horizontal="centerContinuous" vertical="center"/>
    </xf>
    <xf numFmtId="0" fontId="15" fillId="2" borderId="52" xfId="0" applyFont="1" applyFill="1" applyBorder="1" applyAlignment="1">
      <alignment horizontal="centerContinuous" vertical="center"/>
    </xf>
    <xf numFmtId="0" fontId="15" fillId="2" borderId="53" xfId="0" applyFont="1" applyFill="1" applyBorder="1" applyAlignment="1">
      <alignment horizontal="centerContinuous" vertical="center"/>
    </xf>
    <xf numFmtId="0" fontId="15" fillId="2" borderId="54" xfId="0" applyFont="1" applyFill="1" applyBorder="1" applyAlignment="1">
      <alignment horizontal="centerContinuous" vertical="center"/>
    </xf>
    <xf numFmtId="2" fontId="15" fillId="2" borderId="39" xfId="0" applyNumberFormat="1" applyFont="1" applyFill="1" applyBorder="1" applyAlignment="1">
      <alignment horizontal="centerContinuous" vertical="center"/>
    </xf>
    <xf numFmtId="2" fontId="15" fillId="2" borderId="55" xfId="0" applyNumberFormat="1" applyFont="1" applyFill="1" applyBorder="1" applyAlignment="1">
      <alignment horizontal="centerContinuous" vertical="center"/>
    </xf>
    <xf numFmtId="10" fontId="15" fillId="2" borderId="56" xfId="0" applyNumberFormat="1" applyFont="1" applyFill="1" applyBorder="1" applyAlignment="1">
      <alignment horizontal="centerContinuous" vertical="center"/>
    </xf>
    <xf numFmtId="10" fontId="15" fillId="2" borderId="29" xfId="0" applyNumberFormat="1" applyFont="1" applyFill="1" applyBorder="1" applyAlignment="1">
      <alignment horizontal="centerContinuous" vertical="center"/>
    </xf>
    <xf numFmtId="10" fontId="15" fillId="2" borderId="57" xfId="0" applyNumberFormat="1" applyFont="1" applyFill="1" applyBorder="1" applyAlignment="1">
      <alignment horizontal="centerContinuous" vertical="center"/>
    </xf>
    <xf numFmtId="10" fontId="15" fillId="2" borderId="58" xfId="0" applyNumberFormat="1" applyFont="1" applyFill="1" applyBorder="1" applyAlignment="1">
      <alignment horizontal="centerContinuous" vertical="center"/>
    </xf>
    <xf numFmtId="10" fontId="15" fillId="2" borderId="59" xfId="0" applyNumberFormat="1" applyFont="1" applyFill="1" applyBorder="1" applyAlignment="1">
      <alignment horizontal="center" vertical="center"/>
    </xf>
    <xf numFmtId="10" fontId="15" fillId="2" borderId="57" xfId="0" applyNumberFormat="1" applyFont="1" applyFill="1" applyBorder="1" applyAlignment="1">
      <alignment horizontal="center" vertical="center"/>
    </xf>
    <xf numFmtId="10" fontId="15" fillId="2" borderId="58" xfId="0" applyNumberFormat="1" applyFont="1" applyFill="1" applyBorder="1" applyAlignment="1">
      <alignment horizontal="center" vertical="center"/>
    </xf>
    <xf numFmtId="17" fontId="15" fillId="0" borderId="60" xfId="0" applyNumberFormat="1" applyFont="1" applyBorder="1" applyAlignment="1">
      <alignment horizontal="center"/>
    </xf>
    <xf numFmtId="2" fontId="20" fillId="0" borderId="0" xfId="0" applyNumberFormat="1" applyFont="1" applyFill="1" applyBorder="1" applyAlignment="1">
      <alignment horizontal="center"/>
    </xf>
    <xf numFmtId="0" fontId="29" fillId="0" borderId="0" xfId="0" applyFont="1" applyBorder="1"/>
    <xf numFmtId="0" fontId="32" fillId="0" borderId="0" xfId="0" applyFont="1" applyBorder="1" applyAlignment="1">
      <alignment horizontal="centerContinuous"/>
    </xf>
    <xf numFmtId="0" fontId="18" fillId="0" borderId="0" xfId="0" applyFont="1" applyBorder="1" applyAlignment="1">
      <alignment horizontal="centerContinuous"/>
    </xf>
    <xf numFmtId="0" fontId="11" fillId="0" borderId="39" xfId="0" applyFont="1" applyBorder="1" applyAlignment="1">
      <alignment horizontal="right"/>
    </xf>
    <xf numFmtId="0" fontId="31" fillId="0" borderId="44" xfId="0" applyFont="1" applyBorder="1"/>
    <xf numFmtId="2" fontId="15" fillId="0" borderId="6" xfId="0" applyNumberFormat="1" applyFont="1" applyBorder="1" applyAlignment="1">
      <alignment horizontal="center"/>
    </xf>
    <xf numFmtId="2" fontId="15" fillId="0" borderId="8" xfId="0" applyNumberFormat="1" applyFont="1" applyBorder="1" applyAlignment="1">
      <alignment horizontal="center"/>
    </xf>
    <xf numFmtId="0" fontId="15" fillId="0" borderId="61" xfId="0" applyFont="1" applyBorder="1"/>
    <xf numFmtId="0" fontId="15" fillId="0" borderId="62" xfId="0" applyFont="1" applyBorder="1"/>
    <xf numFmtId="17" fontId="15" fillId="0" borderId="63" xfId="0" applyNumberFormat="1" applyFont="1" applyBorder="1" applyAlignment="1">
      <alignment horizontal="center"/>
    </xf>
    <xf numFmtId="2" fontId="15" fillId="0" borderId="64" xfId="0" applyNumberFormat="1" applyFont="1" applyBorder="1" applyAlignment="1">
      <alignment horizontal="center"/>
    </xf>
    <xf numFmtId="2" fontId="15" fillId="0" borderId="65" xfId="0" applyNumberFormat="1" applyFont="1" applyBorder="1" applyAlignment="1">
      <alignment horizontal="center"/>
    </xf>
    <xf numFmtId="0" fontId="0" fillId="0" borderId="61" xfId="0" applyBorder="1" applyAlignment="1">
      <alignment horizontal="centerContinuous" vertical="center"/>
    </xf>
    <xf numFmtId="17" fontId="15" fillId="2" borderId="66" xfId="0" applyNumberFormat="1" applyFont="1" applyFill="1" applyBorder="1" applyAlignment="1">
      <alignment horizontal="center" vertical="center"/>
    </xf>
    <xf numFmtId="0" fontId="0" fillId="0" borderId="67" xfId="0" applyBorder="1" applyAlignment="1">
      <alignment horizontal="centerContinuous" vertical="center"/>
    </xf>
    <xf numFmtId="0" fontId="15" fillId="2" borderId="68" xfId="0" applyFont="1" applyFill="1" applyBorder="1" applyAlignment="1">
      <alignment horizontal="centerContinuous" vertical="center"/>
    </xf>
    <xf numFmtId="0" fontId="15" fillId="2" borderId="14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10" fontId="15" fillId="2" borderId="69" xfId="0" applyNumberFormat="1" applyFont="1" applyFill="1" applyBorder="1" applyAlignment="1">
      <alignment horizontal="centerContinuous" vertical="center"/>
    </xf>
    <xf numFmtId="0" fontId="15" fillId="2" borderId="69" xfId="0" applyFont="1" applyFill="1" applyBorder="1" applyAlignment="1">
      <alignment horizontal="centerContinuous" vertical="center"/>
    </xf>
    <xf numFmtId="2" fontId="15" fillId="2" borderId="69" xfId="0" applyNumberFormat="1" applyFont="1" applyFill="1" applyBorder="1" applyAlignment="1">
      <alignment horizontal="centerContinuous" vertical="center"/>
    </xf>
    <xf numFmtId="2" fontId="15" fillId="2" borderId="70" xfId="0" applyNumberFormat="1" applyFont="1" applyFill="1" applyBorder="1" applyAlignment="1">
      <alignment horizontal="centerContinuous" vertical="center"/>
    </xf>
    <xf numFmtId="0" fontId="20" fillId="2" borderId="0" xfId="0" applyFont="1" applyFill="1" applyBorder="1" applyAlignment="1">
      <alignment horizontal="center"/>
    </xf>
    <xf numFmtId="166" fontId="31" fillId="0" borderId="46" xfId="0" applyNumberFormat="1" applyFont="1" applyBorder="1"/>
    <xf numFmtId="166" fontId="31" fillId="0" borderId="1" xfId="0" applyNumberFormat="1" applyFont="1" applyBorder="1"/>
    <xf numFmtId="166" fontId="31" fillId="0" borderId="4" xfId="0" applyNumberFormat="1" applyFont="1" applyBorder="1"/>
    <xf numFmtId="166" fontId="31" fillId="0" borderId="33" xfId="0" applyNumberFormat="1" applyFont="1" applyBorder="1"/>
    <xf numFmtId="166" fontId="31" fillId="0" borderId="71" xfId="0" applyNumberFormat="1" applyFont="1" applyFill="1" applyBorder="1" applyAlignment="1">
      <alignment horizontal="center" vertical="center"/>
    </xf>
    <xf numFmtId="0" fontId="23" fillId="0" borderId="25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left"/>
    </xf>
    <xf numFmtId="17" fontId="15" fillId="2" borderId="72" xfId="0" applyNumberFormat="1" applyFont="1" applyFill="1" applyBorder="1" applyAlignment="1">
      <alignment horizontal="center" vertical="center"/>
    </xf>
    <xf numFmtId="166" fontId="31" fillId="0" borderId="0" xfId="0" applyNumberFormat="1" applyFont="1" applyFill="1" applyBorder="1" applyAlignment="1">
      <alignment horizontal="center" vertical="center"/>
    </xf>
    <xf numFmtId="2" fontId="21" fillId="0" borderId="0" xfId="0" applyNumberFormat="1" applyFont="1"/>
    <xf numFmtId="2" fontId="15" fillId="0" borderId="27" xfId="0" applyNumberFormat="1" applyFont="1" applyBorder="1" applyAlignment="1">
      <alignment horizontal="center"/>
    </xf>
    <xf numFmtId="2" fontId="33" fillId="0" borderId="6" xfId="0" applyNumberFormat="1" applyFont="1" applyBorder="1" applyAlignment="1">
      <alignment horizontal="center"/>
    </xf>
    <xf numFmtId="2" fontId="15" fillId="0" borderId="6" xfId="0" applyNumberFormat="1" applyFont="1" applyFill="1" applyBorder="1" applyAlignment="1">
      <alignment horizontal="center"/>
    </xf>
    <xf numFmtId="2" fontId="15" fillId="0" borderId="8" xfId="0" applyNumberFormat="1" applyFont="1" applyFill="1" applyBorder="1" applyAlignment="1">
      <alignment horizontal="center"/>
    </xf>
    <xf numFmtId="2" fontId="43" fillId="0" borderId="27" xfId="0" applyNumberFormat="1" applyFont="1" applyFill="1" applyBorder="1" applyAlignment="1">
      <alignment horizontal="center"/>
    </xf>
    <xf numFmtId="2" fontId="43" fillId="0" borderId="6" xfId="0" applyNumberFormat="1" applyFont="1" applyFill="1" applyBorder="1" applyAlignment="1">
      <alignment horizontal="center"/>
    </xf>
    <xf numFmtId="2" fontId="43" fillId="0" borderId="8" xfId="0" applyNumberFormat="1" applyFont="1" applyFill="1" applyBorder="1" applyAlignment="1">
      <alignment horizontal="center"/>
    </xf>
    <xf numFmtId="0" fontId="52" fillId="0" borderId="0" xfId="0" applyFont="1" applyBorder="1" applyAlignment="1">
      <alignment horizontal="center"/>
    </xf>
    <xf numFmtId="2" fontId="15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Continuous" vertical="center"/>
    </xf>
    <xf numFmtId="166" fontId="31" fillId="0" borderId="22" xfId="0" applyNumberFormat="1" applyFont="1" applyFill="1" applyBorder="1" applyAlignment="1">
      <alignment horizontal="center" vertical="center"/>
    </xf>
    <xf numFmtId="0" fontId="31" fillId="0" borderId="21" xfId="0" applyFont="1" applyBorder="1"/>
    <xf numFmtId="0" fontId="31" fillId="0" borderId="23" xfId="0" applyFont="1" applyBorder="1"/>
    <xf numFmtId="166" fontId="31" fillId="0" borderId="73" xfId="0" applyNumberFormat="1" applyFont="1" applyFill="1" applyBorder="1" applyAlignment="1">
      <alignment horizontal="center" vertical="center"/>
    </xf>
    <xf numFmtId="0" fontId="31" fillId="0" borderId="71" xfId="0" applyFont="1" applyBorder="1"/>
    <xf numFmtId="0" fontId="31" fillId="0" borderId="34" xfId="0" applyFont="1" applyBorder="1"/>
    <xf numFmtId="0" fontId="31" fillId="0" borderId="17" xfId="0" applyFont="1" applyBorder="1"/>
    <xf numFmtId="166" fontId="31" fillId="0" borderId="74" xfId="0" applyNumberFormat="1" applyFont="1" applyFill="1" applyBorder="1" applyAlignment="1">
      <alignment horizontal="center" vertical="center"/>
    </xf>
    <xf numFmtId="0" fontId="53" fillId="0" borderId="0" xfId="0" applyFont="1"/>
    <xf numFmtId="0" fontId="53" fillId="0" borderId="0" xfId="0" applyFont="1" applyBorder="1"/>
    <xf numFmtId="2" fontId="53" fillId="0" borderId="0" xfId="0" applyNumberFormat="1" applyFont="1" applyBorder="1"/>
    <xf numFmtId="10" fontId="53" fillId="0" borderId="0" xfId="0" applyNumberFormat="1" applyFont="1" applyBorder="1"/>
    <xf numFmtId="0" fontId="53" fillId="0" borderId="0" xfId="0" applyFont="1" applyFill="1" applyBorder="1"/>
    <xf numFmtId="2" fontId="53" fillId="0" borderId="0" xfId="0" applyNumberFormat="1" applyFont="1" applyFill="1" applyBorder="1"/>
    <xf numFmtId="0" fontId="54" fillId="0" borderId="0" xfId="0" applyFont="1"/>
    <xf numFmtId="0" fontId="9" fillId="0" borderId="0" xfId="0" applyFont="1"/>
    <xf numFmtId="0" fontId="55" fillId="0" borderId="0" xfId="0" applyFont="1"/>
    <xf numFmtId="0" fontId="56" fillId="0" borderId="0" xfId="0" applyFont="1"/>
    <xf numFmtId="2" fontId="53" fillId="0" borderId="13" xfId="0" applyNumberFormat="1" applyFont="1" applyBorder="1"/>
    <xf numFmtId="0" fontId="57" fillId="0" borderId="0" xfId="0" applyFont="1" applyBorder="1"/>
    <xf numFmtId="0" fontId="44" fillId="0" borderId="0" xfId="0" applyFont="1"/>
    <xf numFmtId="0" fontId="53" fillId="0" borderId="0" xfId="0" applyFont="1" applyFill="1"/>
    <xf numFmtId="0" fontId="26" fillId="0" borderId="0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53" fillId="0" borderId="75" xfId="0" applyFont="1" applyFill="1" applyBorder="1" applyAlignment="1">
      <alignment vertical="center"/>
    </xf>
    <xf numFmtId="0" fontId="53" fillId="0" borderId="76" xfId="0" applyFont="1" applyFill="1" applyBorder="1" applyAlignment="1">
      <alignment vertical="center"/>
    </xf>
    <xf numFmtId="0" fontId="53" fillId="0" borderId="77" xfId="0" applyFont="1" applyFill="1" applyBorder="1" applyAlignment="1">
      <alignment vertical="center"/>
    </xf>
    <xf numFmtId="0" fontId="15" fillId="0" borderId="6" xfId="0" applyFont="1" applyFill="1" applyBorder="1" applyAlignment="1">
      <alignment horizontal="center"/>
    </xf>
    <xf numFmtId="166" fontId="15" fillId="0" borderId="6" xfId="0" applyNumberFormat="1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166" fontId="15" fillId="0" borderId="8" xfId="0" applyNumberFormat="1" applyFont="1" applyFill="1" applyBorder="1" applyAlignment="1">
      <alignment horizontal="center"/>
    </xf>
    <xf numFmtId="10" fontId="53" fillId="0" borderId="0" xfId="0" applyNumberFormat="1" applyFont="1" applyFill="1" applyBorder="1"/>
    <xf numFmtId="0" fontId="13" fillId="0" borderId="0" xfId="0" quotePrefix="1" applyFont="1" applyFill="1" applyBorder="1" applyAlignment="1">
      <alignment horizontal="left"/>
    </xf>
    <xf numFmtId="0" fontId="15" fillId="0" borderId="78" xfId="0" applyFont="1" applyFill="1" applyBorder="1" applyAlignment="1">
      <alignment horizontal="center" vertical="center"/>
    </xf>
    <xf numFmtId="2" fontId="15" fillId="0" borderId="78" xfId="0" applyNumberFormat="1" applyFont="1" applyFill="1" applyBorder="1" applyAlignment="1">
      <alignment horizontal="center" vertical="center"/>
    </xf>
    <xf numFmtId="0" fontId="15" fillId="0" borderId="6" xfId="0" applyFont="1" applyFill="1" applyBorder="1"/>
    <xf numFmtId="0" fontId="15" fillId="0" borderId="8" xfId="0" applyFont="1" applyFill="1" applyBorder="1"/>
    <xf numFmtId="10" fontId="15" fillId="0" borderId="79" xfId="0" applyNumberFormat="1" applyFont="1" applyFill="1" applyBorder="1" applyAlignment="1">
      <alignment horizontal="center" vertical="center"/>
    </xf>
    <xf numFmtId="0" fontId="15" fillId="0" borderId="79" xfId="0" applyFont="1" applyFill="1" applyBorder="1" applyAlignment="1">
      <alignment horizontal="center" vertical="center"/>
    </xf>
    <xf numFmtId="2" fontId="15" fillId="0" borderId="55" xfId="0" applyNumberFormat="1" applyFont="1" applyFill="1" applyBorder="1" applyAlignment="1">
      <alignment horizontal="center" vertical="center"/>
    </xf>
    <xf numFmtId="0" fontId="15" fillId="0" borderId="66" xfId="0" applyFont="1" applyFill="1" applyBorder="1"/>
    <xf numFmtId="2" fontId="15" fillId="0" borderId="66" xfId="0" applyNumberFormat="1" applyFont="1" applyFill="1" applyBorder="1" applyAlignment="1">
      <alignment horizontal="center"/>
    </xf>
    <xf numFmtId="9" fontId="53" fillId="0" borderId="0" xfId="0" applyNumberFormat="1" applyFont="1" applyFill="1" applyBorder="1"/>
    <xf numFmtId="0" fontId="19" fillId="0" borderId="0" xfId="0" applyFont="1" applyFill="1" applyBorder="1"/>
    <xf numFmtId="0" fontId="19" fillId="0" borderId="0" xfId="0" applyFont="1" applyFill="1"/>
    <xf numFmtId="2" fontId="31" fillId="0" borderId="71" xfId="0" applyNumberFormat="1" applyFont="1" applyFill="1" applyBorder="1" applyAlignment="1">
      <alignment horizontal="center" vertical="center"/>
    </xf>
    <xf numFmtId="2" fontId="31" fillId="0" borderId="21" xfId="0" applyNumberFormat="1" applyFont="1" applyFill="1" applyBorder="1" applyAlignment="1">
      <alignment horizontal="center" vertical="center"/>
    </xf>
    <xf numFmtId="2" fontId="31" fillId="0" borderId="34" xfId="0" applyNumberFormat="1" applyFont="1" applyFill="1" applyBorder="1" applyAlignment="1">
      <alignment horizontal="center" vertical="center"/>
    </xf>
    <xf numFmtId="2" fontId="30" fillId="0" borderId="34" xfId="0" applyNumberFormat="1" applyFont="1" applyFill="1" applyBorder="1" applyAlignment="1">
      <alignment horizontal="center" vertical="center"/>
    </xf>
    <xf numFmtId="2" fontId="30" fillId="0" borderId="21" xfId="0" applyNumberFormat="1" applyFont="1" applyFill="1" applyBorder="1" applyAlignment="1">
      <alignment horizontal="center" vertical="center"/>
    </xf>
    <xf numFmtId="0" fontId="20" fillId="2" borderId="25" xfId="0" applyFont="1" applyFill="1" applyBorder="1"/>
    <xf numFmtId="0" fontId="20" fillId="2" borderId="80" xfId="0" applyFont="1" applyFill="1" applyBorder="1" applyAlignment="1">
      <alignment horizontal="center"/>
    </xf>
    <xf numFmtId="2" fontId="20" fillId="2" borderId="8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2" fontId="20" fillId="0" borderId="1" xfId="0" applyNumberFormat="1" applyFont="1" applyFill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0" fontId="20" fillId="0" borderId="1" xfId="0" applyFont="1" applyFill="1" applyBorder="1"/>
    <xf numFmtId="0" fontId="30" fillId="0" borderId="82" xfId="0" applyFont="1" applyBorder="1"/>
    <xf numFmtId="0" fontId="31" fillId="0" borderId="14" xfId="0" applyFont="1" applyBorder="1"/>
    <xf numFmtId="0" fontId="31" fillId="0" borderId="83" xfId="0" applyFont="1" applyBorder="1"/>
    <xf numFmtId="0" fontId="30" fillId="0" borderId="61" xfId="0" applyFont="1" applyBorder="1"/>
    <xf numFmtId="0" fontId="31" fillId="0" borderId="84" xfId="0" applyFont="1" applyBorder="1"/>
    <xf numFmtId="0" fontId="30" fillId="0" borderId="62" xfId="0" applyFont="1" applyBorder="1"/>
    <xf numFmtId="0" fontId="31" fillId="0" borderId="13" xfId="0" applyFont="1" applyBorder="1"/>
    <xf numFmtId="0" fontId="31" fillId="0" borderId="85" xfId="0" applyFont="1" applyBorder="1"/>
    <xf numFmtId="0" fontId="62" fillId="0" borderId="12" xfId="0" applyFont="1" applyBorder="1"/>
    <xf numFmtId="0" fontId="63" fillId="0" borderId="5" xfId="0" applyFont="1" applyBorder="1" applyAlignment="1">
      <alignment horizontal="center"/>
    </xf>
    <xf numFmtId="0" fontId="62" fillId="0" borderId="16" xfId="0" applyFont="1" applyBorder="1"/>
    <xf numFmtId="2" fontId="64" fillId="0" borderId="27" xfId="0" applyNumberFormat="1" applyFont="1" applyFill="1" applyBorder="1" applyAlignment="1">
      <alignment horizontal="center"/>
    </xf>
    <xf numFmtId="2" fontId="64" fillId="0" borderId="6" xfId="0" applyNumberFormat="1" applyFont="1" applyFill="1" applyBorder="1" applyAlignment="1">
      <alignment horizontal="center"/>
    </xf>
    <xf numFmtId="2" fontId="64" fillId="0" borderId="8" xfId="0" applyNumberFormat="1" applyFont="1" applyFill="1" applyBorder="1" applyAlignment="1">
      <alignment horizontal="center"/>
    </xf>
    <xf numFmtId="0" fontId="43" fillId="0" borderId="43" xfId="0" applyFont="1" applyBorder="1"/>
    <xf numFmtId="0" fontId="44" fillId="0" borderId="15" xfId="0" applyFont="1" applyBorder="1"/>
    <xf numFmtId="0" fontId="43" fillId="0" borderId="44" xfId="0" applyFont="1" applyBorder="1"/>
    <xf numFmtId="0" fontId="44" fillId="0" borderId="0" xfId="0" applyFont="1" applyBorder="1"/>
    <xf numFmtId="0" fontId="43" fillId="0" borderId="45" xfId="0" applyFont="1" applyBorder="1"/>
    <xf numFmtId="0" fontId="44" fillId="0" borderId="39" xfId="0" applyFont="1" applyBorder="1"/>
    <xf numFmtId="0" fontId="44" fillId="0" borderId="42" xfId="0" applyFont="1" applyBorder="1"/>
    <xf numFmtId="1" fontId="29" fillId="4" borderId="74" xfId="0" applyNumberFormat="1" applyFont="1" applyFill="1" applyBorder="1" applyAlignment="1">
      <alignment horizontal="center" vertical="center"/>
    </xf>
    <xf numFmtId="1" fontId="29" fillId="4" borderId="4" xfId="0" applyNumberFormat="1" applyFont="1" applyFill="1" applyBorder="1" applyAlignment="1">
      <alignment horizontal="center" vertical="center"/>
    </xf>
    <xf numFmtId="2" fontId="29" fillId="4" borderId="17" xfId="0" applyNumberFormat="1" applyFont="1" applyFill="1" applyBorder="1" applyAlignment="1">
      <alignment horizontal="center" vertical="center"/>
    </xf>
    <xf numFmtId="1" fontId="29" fillId="4" borderId="36" xfId="0" applyNumberFormat="1" applyFont="1" applyFill="1" applyBorder="1" applyAlignment="1">
      <alignment horizontal="center" vertical="center"/>
    </xf>
    <xf numFmtId="0" fontId="0" fillId="0" borderId="0" xfId="0" applyBorder="1" applyAlignment="1"/>
    <xf numFmtId="0" fontId="31" fillId="0" borderId="0" xfId="0" applyFont="1"/>
    <xf numFmtId="0" fontId="29" fillId="0" borderId="0" xfId="0" applyFont="1"/>
    <xf numFmtId="10" fontId="31" fillId="0" borderId="0" xfId="0" applyNumberFormat="1" applyFont="1" applyBorder="1"/>
    <xf numFmtId="0" fontId="15" fillId="2" borderId="25" xfId="0" applyFont="1" applyFill="1" applyBorder="1" applyAlignment="1">
      <alignment vertical="center"/>
    </xf>
    <xf numFmtId="0" fontId="15" fillId="0" borderId="25" xfId="0" applyFont="1" applyBorder="1"/>
    <xf numFmtId="0" fontId="48" fillId="0" borderId="0" xfId="0" applyFont="1"/>
    <xf numFmtId="10" fontId="30" fillId="0" borderId="51" xfId="1" applyNumberFormat="1" applyFont="1" applyFill="1" applyBorder="1" applyAlignment="1">
      <alignment horizontal="center" vertical="center"/>
    </xf>
    <xf numFmtId="10" fontId="30" fillId="0" borderId="87" xfId="1" applyNumberFormat="1" applyFont="1" applyFill="1" applyBorder="1" applyAlignment="1">
      <alignment horizontal="center" vertical="center"/>
    </xf>
    <xf numFmtId="10" fontId="30" fillId="0" borderId="88" xfId="1" applyNumberFormat="1" applyFont="1" applyFill="1" applyBorder="1" applyAlignment="1">
      <alignment horizontal="center" vertical="center"/>
    </xf>
    <xf numFmtId="165" fontId="31" fillId="0" borderId="49" xfId="0" applyNumberFormat="1" applyFont="1" applyFill="1" applyBorder="1" applyAlignment="1">
      <alignment horizontal="center" vertical="center"/>
    </xf>
    <xf numFmtId="10" fontId="31" fillId="0" borderId="51" xfId="1" applyNumberFormat="1" applyFont="1" applyFill="1" applyBorder="1" applyAlignment="1">
      <alignment horizontal="center" vertical="center"/>
    </xf>
    <xf numFmtId="10" fontId="31" fillId="0" borderId="87" xfId="1" applyNumberFormat="1" applyFont="1" applyFill="1" applyBorder="1" applyAlignment="1">
      <alignment horizontal="center" vertical="center"/>
    </xf>
    <xf numFmtId="10" fontId="31" fillId="0" borderId="88" xfId="1" applyNumberFormat="1" applyFont="1" applyFill="1" applyBorder="1" applyAlignment="1">
      <alignment horizontal="center" vertical="center"/>
    </xf>
    <xf numFmtId="166" fontId="31" fillId="0" borderId="6" xfId="0" applyNumberFormat="1" applyFont="1" applyFill="1" applyBorder="1" applyAlignment="1">
      <alignment horizontal="center" vertical="center"/>
    </xf>
    <xf numFmtId="2" fontId="29" fillId="4" borderId="89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2" fontId="29" fillId="4" borderId="23" xfId="0" applyNumberFormat="1" applyFont="1" applyFill="1" applyBorder="1" applyAlignment="1">
      <alignment horizontal="center" vertical="center"/>
    </xf>
    <xf numFmtId="10" fontId="30" fillId="0" borderId="27" xfId="1" applyNumberFormat="1" applyFont="1" applyFill="1" applyBorder="1" applyAlignment="1">
      <alignment horizontal="center" vertical="center"/>
    </xf>
    <xf numFmtId="10" fontId="30" fillId="0" borderId="6" xfId="1" applyNumberFormat="1" applyFont="1" applyFill="1" applyBorder="1" applyAlignment="1">
      <alignment horizontal="center" vertical="center"/>
    </xf>
    <xf numFmtId="10" fontId="30" fillId="0" borderId="8" xfId="1" applyNumberFormat="1" applyFont="1" applyFill="1" applyBorder="1" applyAlignment="1">
      <alignment horizontal="center" vertical="center"/>
    </xf>
    <xf numFmtId="0" fontId="20" fillId="0" borderId="82" xfId="0" applyFont="1" applyBorder="1"/>
    <xf numFmtId="0" fontId="18" fillId="0" borderId="14" xfId="0" applyFont="1" applyBorder="1"/>
    <xf numFmtId="0" fontId="18" fillId="0" borderId="83" xfId="0" applyFont="1" applyBorder="1"/>
    <xf numFmtId="0" fontId="20" fillId="0" borderId="61" xfId="0" applyFont="1" applyBorder="1"/>
    <xf numFmtId="0" fontId="18" fillId="0" borderId="84" xfId="0" applyFont="1" applyBorder="1"/>
    <xf numFmtId="0" fontId="20" fillId="0" borderId="62" xfId="0" applyFont="1" applyBorder="1"/>
    <xf numFmtId="0" fontId="18" fillId="0" borderId="13" xfId="0" applyFont="1" applyBorder="1"/>
    <xf numFmtId="0" fontId="12" fillId="0" borderId="0" xfId="0" applyFont="1" applyFill="1" applyBorder="1"/>
    <xf numFmtId="0" fontId="0" fillId="0" borderId="1" xfId="0" applyBorder="1"/>
    <xf numFmtId="0" fontId="0" fillId="0" borderId="32" xfId="0" applyBorder="1"/>
    <xf numFmtId="0" fontId="0" fillId="0" borderId="36" xfId="0" applyBorder="1"/>
    <xf numFmtId="0" fontId="0" fillId="5" borderId="1" xfId="0" applyFill="1" applyBorder="1"/>
    <xf numFmtId="16" fontId="0" fillId="5" borderId="1" xfId="0" applyNumberFormat="1" applyFill="1" applyBorder="1" applyAlignment="1">
      <alignment horizontal="center"/>
    </xf>
    <xf numFmtId="0" fontId="0" fillId="5" borderId="22" xfId="0" applyFill="1" applyBorder="1"/>
    <xf numFmtId="164" fontId="0" fillId="5" borderId="22" xfId="0" applyNumberFormat="1" applyFill="1" applyBorder="1" applyAlignment="1">
      <alignment horizontal="center"/>
    </xf>
    <xf numFmtId="0" fontId="0" fillId="0" borderId="90" xfId="0" applyBorder="1"/>
    <xf numFmtId="0" fontId="0" fillId="0" borderId="91" xfId="0" applyBorder="1"/>
    <xf numFmtId="0" fontId="0" fillId="0" borderId="74" xfId="0" applyBorder="1"/>
    <xf numFmtId="0" fontId="0" fillId="5" borderId="22" xfId="0" applyFill="1" applyBorder="1" applyAlignment="1">
      <alignment horizontal="center"/>
    </xf>
    <xf numFmtId="164" fontId="0" fillId="0" borderId="0" xfId="0" applyNumberFormat="1" applyBorder="1"/>
    <xf numFmtId="165" fontId="43" fillId="0" borderId="0" xfId="0" applyNumberFormat="1" applyFont="1" applyFill="1" applyBorder="1" applyAlignment="1">
      <alignment horizontal="center" vertical="center"/>
    </xf>
    <xf numFmtId="0" fontId="30" fillId="0" borderId="92" xfId="0" applyFont="1" applyBorder="1"/>
    <xf numFmtId="0" fontId="30" fillId="0" borderId="93" xfId="0" applyFont="1" applyBorder="1"/>
    <xf numFmtId="0" fontId="30" fillId="0" borderId="94" xfId="0" applyFont="1" applyBorder="1"/>
    <xf numFmtId="16" fontId="0" fillId="5" borderId="1" xfId="0" applyNumberFormat="1" applyFill="1" applyBorder="1"/>
    <xf numFmtId="0" fontId="57" fillId="0" borderId="0" xfId="0" applyFont="1" applyFill="1" applyBorder="1"/>
    <xf numFmtId="2" fontId="57" fillId="0" borderId="0" xfId="0" applyNumberFormat="1" applyFont="1" applyFill="1" applyBorder="1"/>
    <xf numFmtId="2" fontId="57" fillId="0" borderId="0" xfId="0" applyNumberFormat="1" applyFont="1" applyFill="1" applyBorder="1" applyAlignment="1">
      <alignment horizontal="right"/>
    </xf>
    <xf numFmtId="164" fontId="0" fillId="0" borderId="50" xfId="0" applyNumberFormat="1" applyBorder="1"/>
    <xf numFmtId="164" fontId="0" fillId="0" borderId="48" xfId="0" applyNumberFormat="1" applyBorder="1"/>
    <xf numFmtId="164" fontId="0" fillId="0" borderId="49" xfId="0" applyNumberFormat="1" applyBorder="1"/>
    <xf numFmtId="0" fontId="0" fillId="0" borderId="27" xfId="0" applyBorder="1"/>
    <xf numFmtId="0" fontId="0" fillId="0" borderId="6" xfId="0" applyBorder="1"/>
    <xf numFmtId="0" fontId="0" fillId="0" borderId="8" xfId="0" applyBorder="1"/>
    <xf numFmtId="0" fontId="68" fillId="0" borderId="0" xfId="0" applyFont="1"/>
    <xf numFmtId="10" fontId="31" fillId="0" borderId="0" xfId="1" applyNumberFormat="1" applyFont="1" applyFill="1" applyBorder="1" applyAlignment="1">
      <alignment horizontal="center" vertical="center"/>
    </xf>
    <xf numFmtId="10" fontId="30" fillId="0" borderId="0" xfId="1" applyNumberFormat="1" applyFont="1" applyFill="1" applyBorder="1" applyAlignment="1">
      <alignment horizontal="center" vertical="center"/>
    </xf>
    <xf numFmtId="10" fontId="31" fillId="0" borderId="27" xfId="1" applyNumberFormat="1" applyFont="1" applyFill="1" applyBorder="1" applyAlignment="1">
      <alignment horizontal="center" vertical="center"/>
    </xf>
    <xf numFmtId="10" fontId="31" fillId="0" borderId="6" xfId="1" applyNumberFormat="1" applyFont="1" applyFill="1" applyBorder="1" applyAlignment="1">
      <alignment horizontal="center" vertical="center"/>
    </xf>
    <xf numFmtId="0" fontId="31" fillId="0" borderId="50" xfId="0" applyFont="1" applyBorder="1"/>
    <xf numFmtId="0" fontId="31" fillId="0" borderId="48" xfId="0" applyFont="1" applyBorder="1"/>
    <xf numFmtId="0" fontId="31" fillId="0" borderId="49" xfId="0" applyFont="1" applyBorder="1"/>
    <xf numFmtId="1" fontId="29" fillId="4" borderId="22" xfId="0" applyNumberFormat="1" applyFont="1" applyFill="1" applyBorder="1" applyAlignment="1">
      <alignment horizontal="center" vertical="center"/>
    </xf>
    <xf numFmtId="2" fontId="31" fillId="0" borderId="27" xfId="0" applyNumberFormat="1" applyFont="1" applyFill="1" applyBorder="1" applyAlignment="1">
      <alignment horizontal="center" vertical="center"/>
    </xf>
    <xf numFmtId="2" fontId="31" fillId="0" borderId="6" xfId="0" applyNumberFormat="1" applyFont="1" applyFill="1" applyBorder="1" applyAlignment="1">
      <alignment horizontal="center" vertical="center"/>
    </xf>
    <xf numFmtId="165" fontId="31" fillId="0" borderId="6" xfId="0" applyNumberFormat="1" applyFont="1" applyFill="1" applyBorder="1" applyAlignment="1">
      <alignment horizontal="center" vertical="center"/>
    </xf>
    <xf numFmtId="0" fontId="31" fillId="0" borderId="47" xfId="0" applyFont="1" applyBorder="1"/>
    <xf numFmtId="0" fontId="31" fillId="0" borderId="89" xfId="0" applyFont="1" applyBorder="1"/>
    <xf numFmtId="0" fontId="30" fillId="0" borderId="50" xfId="0" applyFont="1" applyBorder="1"/>
    <xf numFmtId="0" fontId="30" fillId="0" borderId="48" xfId="0" applyFont="1" applyBorder="1"/>
    <xf numFmtId="0" fontId="30" fillId="0" borderId="49" xfId="0" applyFont="1" applyBorder="1"/>
    <xf numFmtId="2" fontId="30" fillId="0" borderId="27" xfId="0" applyNumberFormat="1" applyFont="1" applyFill="1" applyBorder="1" applyAlignment="1">
      <alignment horizontal="center" vertical="center"/>
    </xf>
    <xf numFmtId="2" fontId="30" fillId="0" borderId="6" xfId="0" applyNumberFormat="1" applyFont="1" applyFill="1" applyBorder="1" applyAlignment="1">
      <alignment horizontal="center" vertical="center"/>
    </xf>
    <xf numFmtId="165" fontId="30" fillId="0" borderId="8" xfId="0" applyNumberFormat="1" applyFont="1" applyFill="1" applyBorder="1" applyAlignment="1">
      <alignment horizontal="center" vertical="center"/>
    </xf>
    <xf numFmtId="2" fontId="59" fillId="0" borderId="6" xfId="0" applyNumberFormat="1" applyFont="1" applyFill="1" applyBorder="1" applyAlignment="1">
      <alignment horizontal="center"/>
    </xf>
    <xf numFmtId="2" fontId="30" fillId="0" borderId="82" xfId="0" applyNumberFormat="1" applyFont="1" applyFill="1" applyBorder="1" applyAlignment="1">
      <alignment horizontal="center" vertical="center"/>
    </xf>
    <xf numFmtId="2" fontId="30" fillId="0" borderId="61" xfId="0" applyNumberFormat="1" applyFont="1" applyFill="1" applyBorder="1" applyAlignment="1">
      <alignment horizontal="center" vertical="center"/>
    </xf>
    <xf numFmtId="165" fontId="30" fillId="0" borderId="62" xfId="0" applyNumberFormat="1" applyFont="1" applyFill="1" applyBorder="1" applyAlignment="1">
      <alignment horizontal="center" vertical="center"/>
    </xf>
    <xf numFmtId="10" fontId="30" fillId="0" borderId="83" xfId="1" applyNumberFormat="1" applyFont="1" applyFill="1" applyBorder="1" applyAlignment="1">
      <alignment horizontal="center" vertical="center"/>
    </xf>
    <xf numFmtId="10" fontId="30" fillId="0" borderId="84" xfId="1" applyNumberFormat="1" applyFont="1" applyFill="1" applyBorder="1" applyAlignment="1">
      <alignment horizontal="center" vertical="center"/>
    </xf>
    <xf numFmtId="10" fontId="30" fillId="0" borderId="85" xfId="1" applyNumberFormat="1" applyFont="1" applyFill="1" applyBorder="1" applyAlignment="1">
      <alignment horizontal="center" vertical="center"/>
    </xf>
    <xf numFmtId="165" fontId="59" fillId="0" borderId="6" xfId="0" applyNumberFormat="1" applyFont="1" applyFill="1" applyBorder="1" applyAlignment="1">
      <alignment horizontal="center"/>
    </xf>
    <xf numFmtId="172" fontId="59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Continuous"/>
    </xf>
    <xf numFmtId="0" fontId="3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51" fillId="0" borderId="0" xfId="0" applyFont="1"/>
    <xf numFmtId="0" fontId="50" fillId="0" borderId="0" xfId="0" applyFont="1"/>
    <xf numFmtId="0" fontId="50" fillId="0" borderId="0" xfId="0" applyFont="1" applyAlignment="1">
      <alignment horizontal="center"/>
    </xf>
    <xf numFmtId="0" fontId="50" fillId="0" borderId="27" xfId="0" applyFont="1" applyBorder="1" applyAlignment="1">
      <alignment horizontal="center" vertical="center"/>
    </xf>
    <xf numFmtId="2" fontId="50" fillId="0" borderId="1" xfId="0" applyNumberFormat="1" applyFont="1" applyFill="1" applyBorder="1" applyAlignment="1">
      <alignment horizontal="center"/>
    </xf>
    <xf numFmtId="2" fontId="51" fillId="0" borderId="1" xfId="0" applyNumberFormat="1" applyFont="1" applyBorder="1" applyAlignment="1">
      <alignment horizontal="center"/>
    </xf>
    <xf numFmtId="0" fontId="50" fillId="0" borderId="1" xfId="0" applyFont="1" applyBorder="1" applyAlignment="1">
      <alignment horizontal="center" vertical="center"/>
    </xf>
    <xf numFmtId="0" fontId="18" fillId="0" borderId="0" xfId="0" applyFont="1" applyFill="1" applyBorder="1"/>
    <xf numFmtId="0" fontId="20" fillId="2" borderId="86" xfId="0" applyFont="1" applyFill="1" applyBorder="1" applyAlignment="1">
      <alignment horizontal="center"/>
    </xf>
    <xf numFmtId="0" fontId="49" fillId="0" borderId="0" xfId="0" applyFont="1"/>
    <xf numFmtId="0" fontId="17" fillId="0" borderId="0" xfId="0" applyFont="1" applyBorder="1" applyAlignment="1">
      <alignment horizontal="center"/>
    </xf>
    <xf numFmtId="2" fontId="17" fillId="0" borderId="0" xfId="0" applyNumberFormat="1" applyFont="1" applyBorder="1" applyAlignment="1">
      <alignment horizontal="center"/>
    </xf>
    <xf numFmtId="0" fontId="20" fillId="2" borderId="27" xfId="0" applyFont="1" applyFill="1" applyBorder="1" applyAlignment="1">
      <alignment horizontal="center"/>
    </xf>
    <xf numFmtId="0" fontId="20" fillId="2" borderId="82" xfId="0" applyFont="1" applyFill="1" applyBorder="1" applyAlignment="1">
      <alignment horizontal="center"/>
    </xf>
    <xf numFmtId="2" fontId="20" fillId="0" borderId="82" xfId="0" applyNumberFormat="1" applyFont="1" applyFill="1" applyBorder="1" applyAlignment="1">
      <alignment horizontal="center"/>
    </xf>
    <xf numFmtId="2" fontId="20" fillId="0" borderId="61" xfId="0" applyNumberFormat="1" applyFont="1" applyFill="1" applyBorder="1" applyAlignment="1">
      <alignment horizontal="center"/>
    </xf>
    <xf numFmtId="2" fontId="20" fillId="0" borderId="62" xfId="0" applyNumberFormat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18" fillId="0" borderId="1" xfId="0" applyFont="1" applyBorder="1"/>
    <xf numFmtId="0" fontId="18" fillId="0" borderId="1" xfId="0" applyFont="1" applyFill="1" applyBorder="1"/>
    <xf numFmtId="0" fontId="51" fillId="0" borderId="1" xfId="0" applyFont="1" applyBorder="1"/>
    <xf numFmtId="0" fontId="30" fillId="0" borderId="1" xfId="0" applyFont="1" applyBorder="1" applyAlignment="1">
      <alignment horizontal="center"/>
    </xf>
    <xf numFmtId="0" fontId="30" fillId="0" borderId="1" xfId="0" applyFont="1" applyBorder="1"/>
    <xf numFmtId="0" fontId="15" fillId="2" borderId="68" xfId="0" applyFont="1" applyFill="1" applyBorder="1" applyAlignment="1">
      <alignment vertical="center"/>
    </xf>
    <xf numFmtId="0" fontId="15" fillId="0" borderId="68" xfId="0" applyFont="1" applyBorder="1"/>
    <xf numFmtId="0" fontId="15" fillId="0" borderId="95" xfId="0" applyFont="1" applyBorder="1"/>
    <xf numFmtId="0" fontId="15" fillId="0" borderId="96" xfId="0" applyFont="1" applyBorder="1"/>
    <xf numFmtId="0" fontId="21" fillId="0" borderId="1" xfId="0" applyFont="1" applyBorder="1"/>
    <xf numFmtId="2" fontId="20" fillId="0" borderId="1" xfId="0" applyNumberFormat="1" applyFont="1" applyBorder="1"/>
    <xf numFmtId="0" fontId="20" fillId="0" borderId="1" xfId="0" applyFont="1" applyFill="1" applyBorder="1" applyAlignment="1">
      <alignment vertical="center"/>
    </xf>
    <xf numFmtId="2" fontId="20" fillId="0" borderId="1" xfId="0" applyNumberFormat="1" applyFont="1" applyFill="1" applyBorder="1" applyAlignment="1">
      <alignment vertical="center"/>
    </xf>
    <xf numFmtId="2" fontId="20" fillId="0" borderId="1" xfId="0" applyNumberFormat="1" applyFont="1" applyBorder="1" applyAlignment="1"/>
    <xf numFmtId="0" fontId="20" fillId="0" borderId="0" xfId="0" applyFont="1"/>
    <xf numFmtId="0" fontId="43" fillId="0" borderId="0" xfId="0" applyFont="1"/>
    <xf numFmtId="2" fontId="20" fillId="2" borderId="68" xfId="0" applyNumberFormat="1" applyFont="1" applyFill="1" applyBorder="1" applyAlignment="1">
      <alignment horizontal="center"/>
    </xf>
    <xf numFmtId="1" fontId="20" fillId="0" borderId="48" xfId="0" applyNumberFormat="1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2" fontId="0" fillId="0" borderId="27" xfId="0" applyNumberFormat="1" applyFill="1" applyBorder="1"/>
    <xf numFmtId="2" fontId="0" fillId="0" borderId="97" xfId="0" applyNumberFormat="1" applyFill="1" applyBorder="1"/>
    <xf numFmtId="2" fontId="0" fillId="0" borderId="94" xfId="0" applyNumberFormat="1" applyFill="1" applyBorder="1"/>
    <xf numFmtId="0" fontId="22" fillId="0" borderId="0" xfId="0" applyFont="1" applyAlignment="1">
      <alignment horizontal="center"/>
    </xf>
    <xf numFmtId="0" fontId="21" fillId="0" borderId="86" xfId="0" applyFont="1" applyBorder="1" applyAlignment="1">
      <alignment horizontal="center" vertical="center"/>
    </xf>
    <xf numFmtId="0" fontId="20" fillId="0" borderId="85" xfId="0" applyFont="1" applyBorder="1"/>
    <xf numFmtId="2" fontId="65" fillId="0" borderId="6" xfId="0" applyNumberFormat="1" applyFont="1" applyBorder="1" applyAlignment="1">
      <alignment horizontal="center"/>
    </xf>
    <xf numFmtId="2" fontId="65" fillId="0" borderId="27" xfId="0" applyNumberFormat="1" applyFont="1" applyFill="1" applyBorder="1" applyAlignment="1">
      <alignment horizontal="center"/>
    </xf>
    <xf numFmtId="2" fontId="65" fillId="0" borderId="6" xfId="0" applyNumberFormat="1" applyFont="1" applyFill="1" applyBorder="1" applyAlignment="1">
      <alignment horizontal="center"/>
    </xf>
    <xf numFmtId="2" fontId="65" fillId="0" borderId="8" xfId="0" applyNumberFormat="1" applyFont="1" applyFill="1" applyBorder="1" applyAlignment="1">
      <alignment horizontal="center"/>
    </xf>
    <xf numFmtId="2" fontId="46" fillId="0" borderId="0" xfId="0" applyNumberFormat="1" applyFont="1" applyBorder="1"/>
    <xf numFmtId="165" fontId="59" fillId="0" borderId="22" xfId="0" applyNumberFormat="1" applyFont="1" applyFill="1" applyBorder="1" applyAlignment="1">
      <alignment horizontal="right"/>
    </xf>
    <xf numFmtId="165" fontId="59" fillId="0" borderId="4" xfId="0" applyNumberFormat="1" applyFont="1" applyFill="1" applyBorder="1" applyAlignment="1">
      <alignment horizontal="right"/>
    </xf>
    <xf numFmtId="165" fontId="31" fillId="0" borderId="62" xfId="0" applyNumberFormat="1" applyFont="1" applyFill="1" applyBorder="1" applyAlignment="1">
      <alignment horizontal="center" vertical="center"/>
    </xf>
    <xf numFmtId="165" fontId="31" fillId="0" borderId="61" xfId="0" applyNumberFormat="1" applyFont="1" applyFill="1" applyBorder="1" applyAlignment="1">
      <alignment horizontal="center" vertical="center"/>
    </xf>
    <xf numFmtId="165" fontId="31" fillId="0" borderId="98" xfId="0" applyNumberFormat="1" applyFont="1" applyFill="1" applyBorder="1" applyAlignment="1">
      <alignment horizontal="center" vertical="center"/>
    </xf>
    <xf numFmtId="4" fontId="59" fillId="0" borderId="1" xfId="0" applyNumberFormat="1" applyFont="1" applyFill="1" applyBorder="1" applyAlignment="1">
      <alignment horizontal="right"/>
    </xf>
    <xf numFmtId="4" fontId="69" fillId="0" borderId="21" xfId="0" applyNumberFormat="1" applyFont="1" applyFill="1" applyBorder="1" applyAlignment="1">
      <alignment horizontal="right"/>
    </xf>
    <xf numFmtId="0" fontId="59" fillId="0" borderId="1" xfId="0" applyNumberFormat="1" applyFont="1" applyFill="1" applyBorder="1" applyAlignment="1">
      <alignment horizontal="right"/>
    </xf>
    <xf numFmtId="2" fontId="59" fillId="0" borderId="1" xfId="0" applyNumberFormat="1" applyFont="1" applyFill="1" applyBorder="1" applyAlignment="1">
      <alignment horizontal="right"/>
    </xf>
    <xf numFmtId="0" fontId="69" fillId="0" borderId="21" xfId="0" applyNumberFormat="1" applyFont="1" applyFill="1" applyBorder="1" applyAlignment="1">
      <alignment horizontal="right"/>
    </xf>
    <xf numFmtId="0" fontId="59" fillId="0" borderId="22" xfId="0" applyNumberFormat="1" applyFont="1" applyFill="1" applyBorder="1" applyAlignment="1">
      <alignment horizontal="right"/>
    </xf>
    <xf numFmtId="169" fontId="59" fillId="0" borderId="22" xfId="0" applyNumberFormat="1" applyFont="1" applyFill="1" applyBorder="1" applyAlignment="1">
      <alignment horizontal="right"/>
    </xf>
    <xf numFmtId="0" fontId="69" fillId="0" borderId="23" xfId="0" applyNumberFormat="1" applyFont="1" applyFill="1" applyBorder="1" applyAlignment="1">
      <alignment horizontal="right"/>
    </xf>
    <xf numFmtId="0" fontId="59" fillId="0" borderId="4" xfId="0" applyNumberFormat="1" applyFont="1" applyFill="1" applyBorder="1" applyAlignment="1">
      <alignment horizontal="right"/>
    </xf>
    <xf numFmtId="169" fontId="59" fillId="0" borderId="4" xfId="0" applyNumberFormat="1" applyFont="1" applyFill="1" applyBorder="1" applyAlignment="1">
      <alignment horizontal="right"/>
    </xf>
    <xf numFmtId="0" fontId="69" fillId="0" borderId="17" xfId="0" applyNumberFormat="1" applyFont="1" applyFill="1" applyBorder="1" applyAlignment="1">
      <alignment horizontal="right"/>
    </xf>
    <xf numFmtId="169" fontId="59" fillId="0" borderId="1" xfId="0" applyNumberFormat="1" applyFont="1" applyFill="1" applyBorder="1" applyAlignment="1">
      <alignment horizontal="right"/>
    </xf>
    <xf numFmtId="168" fontId="69" fillId="0" borderId="21" xfId="0" applyNumberFormat="1" applyFont="1" applyFill="1" applyBorder="1" applyAlignment="1">
      <alignment horizontal="right"/>
    </xf>
    <xf numFmtId="170" fontId="69" fillId="0" borderId="17" xfId="0" applyNumberFormat="1" applyFont="1" applyFill="1" applyBorder="1" applyAlignment="1">
      <alignment horizontal="right"/>
    </xf>
    <xf numFmtId="4" fontId="69" fillId="0" borderId="1" xfId="0" applyNumberFormat="1" applyFont="1" applyFill="1" applyBorder="1" applyAlignment="1">
      <alignment horizontal="right"/>
    </xf>
    <xf numFmtId="0" fontId="69" fillId="0" borderId="1" xfId="0" applyNumberFormat="1" applyFont="1" applyFill="1" applyBorder="1" applyAlignment="1">
      <alignment horizontal="right"/>
    </xf>
    <xf numFmtId="0" fontId="69" fillId="0" borderId="4" xfId="0" applyNumberFormat="1" applyFont="1" applyFill="1" applyBorder="1" applyAlignment="1">
      <alignment horizontal="right"/>
    </xf>
    <xf numFmtId="169" fontId="69" fillId="0" borderId="4" xfId="0" applyNumberFormat="1" applyFont="1" applyFill="1" applyBorder="1" applyAlignment="1">
      <alignment horizontal="right"/>
    </xf>
    <xf numFmtId="2" fontId="31" fillId="0" borderId="99" xfId="0" applyNumberFormat="1" applyFont="1" applyFill="1" applyBorder="1" applyAlignment="1">
      <alignment horizontal="center" vertical="center"/>
    </xf>
    <xf numFmtId="2" fontId="31" fillId="0" borderId="100" xfId="0" applyNumberFormat="1" applyFont="1" applyFill="1" applyBorder="1" applyAlignment="1">
      <alignment horizontal="center" vertical="center"/>
    </xf>
    <xf numFmtId="2" fontId="31" fillId="0" borderId="50" xfId="0" applyNumberFormat="1" applyFont="1" applyFill="1" applyBorder="1" applyAlignment="1">
      <alignment horizontal="center" vertical="center"/>
    </xf>
    <xf numFmtId="2" fontId="31" fillId="0" borderId="48" xfId="0" applyNumberFormat="1" applyFont="1" applyFill="1" applyBorder="1" applyAlignment="1">
      <alignment horizontal="center" vertical="center"/>
    </xf>
    <xf numFmtId="2" fontId="31" fillId="0" borderId="101" xfId="0" applyNumberFormat="1" applyFont="1" applyFill="1" applyBorder="1" applyAlignment="1">
      <alignment horizontal="center" vertical="center"/>
    </xf>
    <xf numFmtId="0" fontId="23" fillId="2" borderId="80" xfId="0" applyFont="1" applyFill="1" applyBorder="1" applyAlignment="1">
      <alignment horizontal="center"/>
    </xf>
    <xf numFmtId="165" fontId="31" fillId="0" borderId="1" xfId="0" applyNumberFormat="1" applyFont="1" applyFill="1" applyBorder="1" applyAlignment="1">
      <alignment horizontal="center" vertical="center"/>
    </xf>
    <xf numFmtId="165" fontId="59" fillId="0" borderId="1" xfId="0" applyNumberFormat="1" applyFont="1" applyFill="1" applyBorder="1" applyAlignment="1">
      <alignment horizontal="right"/>
    </xf>
    <xf numFmtId="165" fontId="25" fillId="0" borderId="1" xfId="0" applyNumberFormat="1" applyFont="1" applyFill="1" applyBorder="1" applyAlignment="1">
      <alignment horizontal="right"/>
    </xf>
    <xf numFmtId="165" fontId="30" fillId="0" borderId="1" xfId="0" applyNumberFormat="1" applyFont="1" applyFill="1" applyBorder="1" applyAlignment="1">
      <alignment horizontal="center" vertical="center"/>
    </xf>
    <xf numFmtId="165" fontId="59" fillId="0" borderId="1" xfId="0" applyNumberFormat="1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vertical="center"/>
    </xf>
    <xf numFmtId="1" fontId="29" fillId="0" borderId="0" xfId="0" applyNumberFormat="1" applyFont="1" applyFill="1" applyBorder="1" applyAlignment="1">
      <alignment horizontal="center" vertical="center"/>
    </xf>
    <xf numFmtId="2" fontId="29" fillId="0" borderId="0" xfId="0" applyNumberFormat="1" applyFont="1" applyFill="1" applyBorder="1" applyAlignment="1">
      <alignment horizontal="center" vertical="center"/>
    </xf>
    <xf numFmtId="0" fontId="60" fillId="0" borderId="0" xfId="0" applyFont="1" applyFill="1" applyBorder="1" applyAlignment="1"/>
    <xf numFmtId="0" fontId="45" fillId="0" borderId="0" xfId="0" applyFont="1"/>
    <xf numFmtId="2" fontId="29" fillId="4" borderId="21" xfId="0" applyNumberFormat="1" applyFont="1" applyFill="1" applyBorder="1" applyAlignment="1">
      <alignment horizontal="center" vertical="center"/>
    </xf>
    <xf numFmtId="10" fontId="31" fillId="0" borderId="21" xfId="1" applyNumberFormat="1" applyFont="1" applyFill="1" applyBorder="1" applyAlignment="1">
      <alignment horizontal="center" vertical="center"/>
    </xf>
    <xf numFmtId="10" fontId="31" fillId="0" borderId="17" xfId="1" applyNumberFormat="1" applyFont="1" applyFill="1" applyBorder="1" applyAlignment="1">
      <alignment horizontal="center" vertical="center"/>
    </xf>
    <xf numFmtId="166" fontId="31" fillId="0" borderId="91" xfId="0" applyNumberFormat="1" applyFont="1" applyFill="1" applyBorder="1" applyAlignment="1">
      <alignment horizontal="center" vertical="center"/>
    </xf>
    <xf numFmtId="166" fontId="31" fillId="0" borderId="10" xfId="0" applyNumberFormat="1" applyFont="1" applyFill="1" applyBorder="1" applyAlignment="1">
      <alignment horizontal="center" vertical="center"/>
    </xf>
    <xf numFmtId="166" fontId="31" fillId="0" borderId="36" xfId="0" applyNumberFormat="1" applyFont="1" applyFill="1" applyBorder="1" applyAlignment="1">
      <alignment horizontal="center" vertical="center"/>
    </xf>
    <xf numFmtId="166" fontId="31" fillId="0" borderId="102" xfId="0" applyNumberFormat="1" applyFont="1" applyFill="1" applyBorder="1" applyAlignment="1">
      <alignment horizontal="center" vertical="center"/>
    </xf>
    <xf numFmtId="166" fontId="31" fillId="0" borderId="32" xfId="0" applyNumberFormat="1" applyFont="1" applyFill="1" applyBorder="1" applyAlignment="1">
      <alignment horizontal="center" vertical="center"/>
    </xf>
    <xf numFmtId="166" fontId="30" fillId="0" borderId="32" xfId="0" applyNumberFormat="1" applyFont="1" applyFill="1" applyBorder="1" applyAlignment="1">
      <alignment horizontal="center" vertical="center"/>
    </xf>
    <xf numFmtId="166" fontId="30" fillId="0" borderId="10" xfId="0" applyNumberFormat="1" applyFont="1" applyFill="1" applyBorder="1" applyAlignment="1">
      <alignment horizontal="center" vertical="center"/>
    </xf>
    <xf numFmtId="166" fontId="30" fillId="0" borderId="36" xfId="0" applyNumberFormat="1" applyFont="1" applyFill="1" applyBorder="1" applyAlignment="1">
      <alignment horizontal="center" vertical="center"/>
    </xf>
    <xf numFmtId="9" fontId="0" fillId="0" borderId="0" xfId="1" applyFont="1"/>
    <xf numFmtId="166" fontId="30" fillId="0" borderId="100" xfId="0" applyNumberFormat="1" applyFont="1" applyFill="1" applyBorder="1" applyAlignment="1">
      <alignment horizontal="center" vertical="center"/>
    </xf>
    <xf numFmtId="166" fontId="30" fillId="0" borderId="101" xfId="0" applyNumberFormat="1" applyFont="1" applyFill="1" applyBorder="1" applyAlignment="1">
      <alignment horizontal="center" vertical="center"/>
    </xf>
    <xf numFmtId="166" fontId="30" fillId="0" borderId="98" xfId="0" applyNumberFormat="1" applyFont="1" applyFill="1" applyBorder="1" applyAlignment="1">
      <alignment horizontal="center" vertical="center"/>
    </xf>
    <xf numFmtId="166" fontId="31" fillId="0" borderId="89" xfId="0" applyNumberFormat="1" applyFont="1" applyFill="1" applyBorder="1" applyAlignment="1">
      <alignment horizontal="center" vertical="center"/>
    </xf>
    <xf numFmtId="17" fontId="29" fillId="4" borderId="10" xfId="0" applyNumberFormat="1" applyFont="1" applyFill="1" applyBorder="1" applyAlignment="1">
      <alignment horizontal="center" vertical="center"/>
    </xf>
    <xf numFmtId="17" fontId="29" fillId="4" borderId="1" xfId="0" applyNumberFormat="1" applyFont="1" applyFill="1" applyBorder="1" applyAlignment="1">
      <alignment horizontal="center" vertical="center"/>
    </xf>
    <xf numFmtId="14" fontId="0" fillId="5" borderId="1" xfId="0" applyNumberFormat="1" applyFill="1" applyBorder="1"/>
    <xf numFmtId="0" fontId="15" fillId="2" borderId="78" xfId="0" applyFont="1" applyFill="1" applyBorder="1" applyAlignment="1">
      <alignment horizontal="center"/>
    </xf>
    <xf numFmtId="10" fontId="15" fillId="2" borderId="78" xfId="0" applyNumberFormat="1" applyFont="1" applyFill="1" applyBorder="1" applyAlignment="1">
      <alignment horizontal="center"/>
    </xf>
    <xf numFmtId="0" fontId="53" fillId="2" borderId="78" xfId="0" applyFont="1" applyFill="1" applyBorder="1" applyAlignment="1">
      <alignment horizontal="centerContinuous" vertical="center"/>
    </xf>
    <xf numFmtId="0" fontId="15" fillId="2" borderId="92" xfId="0" applyFont="1" applyFill="1" applyBorder="1" applyAlignment="1">
      <alignment horizontal="centerContinuous" vertical="center"/>
    </xf>
    <xf numFmtId="0" fontId="53" fillId="2" borderId="92" xfId="0" applyFont="1" applyFill="1" applyBorder="1" applyAlignment="1">
      <alignment horizontal="centerContinuous" vertical="center"/>
    </xf>
    <xf numFmtId="0" fontId="53" fillId="2" borderId="26" xfId="0" applyFont="1" applyFill="1" applyBorder="1" applyAlignment="1">
      <alignment horizontal="centerContinuous" vertical="center"/>
    </xf>
    <xf numFmtId="0" fontId="53" fillId="2" borderId="24" xfId="0" applyFont="1" applyFill="1" applyBorder="1" applyAlignment="1">
      <alignment horizontal="centerContinuous" vertical="center"/>
    </xf>
    <xf numFmtId="0" fontId="53" fillId="2" borderId="51" xfId="0" applyFont="1" applyFill="1" applyBorder="1" applyAlignment="1">
      <alignment horizontal="centerContinuous" vertical="center"/>
    </xf>
    <xf numFmtId="10" fontId="20" fillId="0" borderId="78" xfId="0" applyNumberFormat="1" applyFont="1" applyFill="1" applyBorder="1" applyAlignment="1">
      <alignment horizontal="center" vertical="center"/>
    </xf>
    <xf numFmtId="0" fontId="20" fillId="0" borderId="86" xfId="0" applyFont="1" applyFill="1" applyBorder="1" applyAlignment="1">
      <alignment horizontal="centerContinuous" vertical="center"/>
    </xf>
    <xf numFmtId="0" fontId="34" fillId="0" borderId="0" xfId="0" applyFont="1" applyFill="1"/>
    <xf numFmtId="0" fontId="21" fillId="0" borderId="0" xfId="0" applyFont="1" applyFill="1"/>
    <xf numFmtId="0" fontId="15" fillId="6" borderId="53" xfId="0" applyFont="1" applyFill="1" applyBorder="1" applyAlignment="1">
      <alignment horizontal="center" vertical="center"/>
    </xf>
    <xf numFmtId="2" fontId="15" fillId="6" borderId="103" xfId="0" applyNumberFormat="1" applyFont="1" applyFill="1" applyBorder="1" applyAlignment="1">
      <alignment horizontal="center" vertical="center"/>
    </xf>
    <xf numFmtId="0" fontId="65" fillId="6" borderId="6" xfId="0" applyFont="1" applyFill="1" applyBorder="1"/>
    <xf numFmtId="0" fontId="65" fillId="6" borderId="8" xfId="0" applyFont="1" applyFill="1" applyBorder="1"/>
    <xf numFmtId="0" fontId="65" fillId="6" borderId="27" xfId="0" applyFont="1" applyFill="1" applyBorder="1"/>
    <xf numFmtId="10" fontId="15" fillId="6" borderId="104" xfId="0" applyNumberFormat="1" applyFont="1" applyFill="1" applyBorder="1" applyAlignment="1">
      <alignment horizontal="center" vertical="center"/>
    </xf>
    <xf numFmtId="10" fontId="15" fillId="6" borderId="73" xfId="0" applyNumberFormat="1" applyFont="1" applyFill="1" applyBorder="1" applyAlignment="1">
      <alignment horizontal="center" vertical="center"/>
    </xf>
    <xf numFmtId="10" fontId="15" fillId="6" borderId="105" xfId="0" applyNumberFormat="1" applyFont="1" applyFill="1" applyBorder="1" applyAlignment="1">
      <alignment horizontal="center" vertical="center"/>
    </xf>
    <xf numFmtId="10" fontId="15" fillId="6" borderId="106" xfId="0" applyNumberFormat="1" applyFont="1" applyFill="1" applyBorder="1" applyAlignment="1">
      <alignment horizontal="center" vertical="center"/>
    </xf>
    <xf numFmtId="0" fontId="30" fillId="6" borderId="93" xfId="0" applyFont="1" applyFill="1" applyBorder="1" applyAlignment="1">
      <alignment vertical="center" wrapText="1"/>
    </xf>
    <xf numFmtId="0" fontId="30" fillId="6" borderId="93" xfId="0" applyFont="1" applyFill="1" applyBorder="1" applyAlignment="1">
      <alignment vertical="center"/>
    </xf>
    <xf numFmtId="0" fontId="30" fillId="6" borderId="94" xfId="0" applyFont="1" applyFill="1" applyBorder="1" applyAlignment="1">
      <alignment vertical="center"/>
    </xf>
    <xf numFmtId="0" fontId="27" fillId="6" borderId="12" xfId="0" applyFont="1" applyFill="1" applyBorder="1" applyAlignment="1">
      <alignment horizontal="centerContinuous"/>
    </xf>
    <xf numFmtId="0" fontId="71" fillId="6" borderId="16" xfId="0" applyFont="1" applyFill="1" applyBorder="1" applyAlignment="1">
      <alignment horizontal="centerContinuous"/>
    </xf>
    <xf numFmtId="2" fontId="0" fillId="0" borderId="33" xfId="0" applyNumberFormat="1" applyBorder="1"/>
    <xf numFmtId="2" fontId="0" fillId="0" borderId="1" xfId="0" applyNumberFormat="1" applyBorder="1"/>
    <xf numFmtId="2" fontId="0" fillId="0" borderId="4" xfId="0" applyNumberFormat="1" applyBorder="1"/>
    <xf numFmtId="0" fontId="48" fillId="2" borderId="27" xfId="0" applyFont="1" applyFill="1" applyBorder="1" applyAlignment="1">
      <alignment horizontal="center" vertical="center"/>
    </xf>
    <xf numFmtId="0" fontId="48" fillId="2" borderId="8" xfId="0" applyFont="1" applyFill="1" applyBorder="1" applyAlignment="1">
      <alignment horizontal="center" vertical="center"/>
    </xf>
    <xf numFmtId="9" fontId="0" fillId="0" borderId="0" xfId="0" applyNumberFormat="1" applyFill="1" applyBorder="1"/>
    <xf numFmtId="0" fontId="20" fillId="0" borderId="50" xfId="0" applyFont="1" applyBorder="1"/>
    <xf numFmtId="0" fontId="20" fillId="0" borderId="48" xfId="0" applyFont="1" applyBorder="1"/>
    <xf numFmtId="0" fontId="20" fillId="0" borderId="49" xfId="0" applyFont="1" applyBorder="1"/>
    <xf numFmtId="17" fontId="48" fillId="0" borderId="0" xfId="0" applyNumberFormat="1" applyFont="1" applyFill="1" applyBorder="1" applyAlignment="1">
      <alignment horizontal="center" vertical="center"/>
    </xf>
    <xf numFmtId="17" fontId="48" fillId="0" borderId="0" xfId="0" applyNumberFormat="1" applyFont="1" applyFill="1" applyBorder="1" applyAlignment="1">
      <alignment horizontal="center" vertical="center" wrapText="1"/>
    </xf>
    <xf numFmtId="2" fontId="67" fillId="0" borderId="0" xfId="0" applyNumberFormat="1" applyFont="1" applyFill="1" applyBorder="1" applyAlignment="1">
      <alignment horizontal="center" vertical="center"/>
    </xf>
    <xf numFmtId="2" fontId="67" fillId="0" borderId="0" xfId="0" applyNumberFormat="1" applyFont="1" applyFill="1" applyBorder="1" applyAlignment="1">
      <alignment horizontal="center"/>
    </xf>
    <xf numFmtId="165" fontId="67" fillId="0" borderId="0" xfId="0" applyNumberFormat="1" applyFont="1" applyFill="1" applyBorder="1" applyAlignment="1">
      <alignment horizontal="center" vertical="center"/>
    </xf>
    <xf numFmtId="165" fontId="67" fillId="0" borderId="0" xfId="0" applyNumberFormat="1" applyFont="1" applyFill="1" applyBorder="1" applyAlignment="1">
      <alignment horizontal="center"/>
    </xf>
    <xf numFmtId="166" fontId="67" fillId="0" borderId="0" xfId="0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/>
    <xf numFmtId="0" fontId="20" fillId="0" borderId="92" xfId="0" applyFont="1" applyBorder="1" applyAlignment="1">
      <alignment horizontal="center"/>
    </xf>
    <xf numFmtId="0" fontId="20" fillId="0" borderId="93" xfId="0" applyFont="1" applyBorder="1" applyAlignment="1">
      <alignment horizontal="center"/>
    </xf>
    <xf numFmtId="0" fontId="20" fillId="0" borderId="94" xfId="0" applyFont="1" applyBorder="1" applyAlignment="1">
      <alignment horizontal="center"/>
    </xf>
    <xf numFmtId="0" fontId="44" fillId="0" borderId="0" xfId="0" applyFont="1" applyFill="1" applyBorder="1" applyAlignment="1">
      <alignment horizontal="centerContinuous" vertical="center"/>
    </xf>
    <xf numFmtId="0" fontId="72" fillId="0" borderId="0" xfId="0" applyFont="1"/>
    <xf numFmtId="171" fontId="0" fillId="0" borderId="0" xfId="0" applyNumberFormat="1"/>
    <xf numFmtId="0" fontId="20" fillId="6" borderId="53" xfId="0" applyFont="1" applyFill="1" applyBorder="1" applyAlignment="1">
      <alignment horizontal="center" vertical="center"/>
    </xf>
    <xf numFmtId="0" fontId="65" fillId="6" borderId="61" xfId="0" applyFont="1" applyFill="1" applyBorder="1"/>
    <xf numFmtId="0" fontId="65" fillId="6" borderId="62" xfId="0" applyFont="1" applyFill="1" applyBorder="1"/>
    <xf numFmtId="0" fontId="15" fillId="6" borderId="73" xfId="0" applyFont="1" applyFill="1" applyBorder="1" applyAlignment="1">
      <alignment horizontal="center" vertical="center"/>
    </xf>
    <xf numFmtId="2" fontId="15" fillId="6" borderId="106" xfId="0" applyNumberFormat="1" applyFont="1" applyFill="1" applyBorder="1" applyAlignment="1">
      <alignment horizontal="center" vertical="center"/>
    </xf>
    <xf numFmtId="2" fontId="73" fillId="0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0" fontId="30" fillId="0" borderId="0" xfId="0" applyFont="1"/>
    <xf numFmtId="0" fontId="30" fillId="0" borderId="0" xfId="0" applyFont="1" applyBorder="1"/>
    <xf numFmtId="0" fontId="75" fillId="8" borderId="25" xfId="0" applyFont="1" applyFill="1" applyBorder="1" applyAlignment="1">
      <alignment horizontal="center"/>
    </xf>
    <xf numFmtId="0" fontId="75" fillId="8" borderId="80" xfId="0" applyFont="1" applyFill="1" applyBorder="1" applyAlignment="1">
      <alignment horizontal="center"/>
    </xf>
    <xf numFmtId="0" fontId="75" fillId="8" borderId="81" xfId="0" applyFont="1" applyFill="1" applyBorder="1" applyAlignment="1">
      <alignment horizontal="center"/>
    </xf>
    <xf numFmtId="0" fontId="75" fillId="8" borderId="100" xfId="0" applyFont="1" applyFill="1" applyBorder="1"/>
    <xf numFmtId="0" fontId="75" fillId="8" borderId="98" xfId="0" applyFont="1" applyFill="1" applyBorder="1"/>
    <xf numFmtId="0" fontId="75" fillId="8" borderId="92" xfId="0" applyFont="1" applyFill="1" applyBorder="1"/>
    <xf numFmtId="0" fontId="75" fillId="8" borderId="93" xfId="0" applyFont="1" applyFill="1" applyBorder="1"/>
    <xf numFmtId="0" fontId="75" fillId="8" borderId="94" xfId="0" applyFont="1" applyFill="1" applyBorder="1"/>
    <xf numFmtId="0" fontId="75" fillId="7" borderId="86" xfId="0" applyFont="1" applyFill="1" applyBorder="1" applyAlignment="1">
      <alignment horizontal="center" vertical="center"/>
    </xf>
    <xf numFmtId="0" fontId="75" fillId="8" borderId="86" xfId="0" applyFont="1" applyFill="1" applyBorder="1"/>
    <xf numFmtId="0" fontId="76" fillId="0" borderId="0" xfId="0" applyFont="1"/>
    <xf numFmtId="2" fontId="76" fillId="0" borderId="32" xfId="49" applyNumberFormat="1" applyFont="1" applyBorder="1" applyAlignment="1">
      <alignment horizontal="center" vertical="center"/>
    </xf>
    <xf numFmtId="2" fontId="76" fillId="0" borderId="33" xfId="49" applyNumberFormat="1" applyFont="1" applyBorder="1" applyAlignment="1">
      <alignment horizontal="center" vertical="center"/>
    </xf>
    <xf numFmtId="2" fontId="76" fillId="0" borderId="34" xfId="49" applyNumberFormat="1" applyFont="1" applyBorder="1" applyAlignment="1">
      <alignment horizontal="center" vertical="center"/>
    </xf>
    <xf numFmtId="2" fontId="76" fillId="0" borderId="102" xfId="49" applyNumberFormat="1" applyFont="1" applyBorder="1" applyAlignment="1">
      <alignment horizontal="center" vertical="center"/>
    </xf>
    <xf numFmtId="2" fontId="76" fillId="0" borderId="46" xfId="49" applyNumberFormat="1" applyFont="1" applyBorder="1" applyAlignment="1">
      <alignment horizontal="center" vertical="center"/>
    </xf>
    <xf numFmtId="2" fontId="76" fillId="0" borderId="71" xfId="49" applyNumberFormat="1" applyFont="1" applyBorder="1" applyAlignment="1">
      <alignment horizontal="center" vertical="center"/>
    </xf>
    <xf numFmtId="2" fontId="76" fillId="0" borderId="18" xfId="49" applyNumberFormat="1" applyFont="1" applyBorder="1" applyAlignment="1">
      <alignment horizontal="center" vertical="center"/>
    </xf>
    <xf numFmtId="2" fontId="76" fillId="0" borderId="19" xfId="49" applyNumberFormat="1" applyFont="1" applyBorder="1" applyAlignment="1">
      <alignment horizontal="center" vertical="center"/>
    </xf>
    <xf numFmtId="2" fontId="76" fillId="0" borderId="20" xfId="49" applyNumberFormat="1" applyFont="1" applyBorder="1" applyAlignment="1">
      <alignment horizontal="center" vertical="center"/>
    </xf>
    <xf numFmtId="2" fontId="76" fillId="0" borderId="3" xfId="49" applyNumberFormat="1" applyFont="1" applyBorder="1" applyAlignment="1">
      <alignment horizontal="center" vertical="center"/>
    </xf>
    <xf numFmtId="2" fontId="76" fillId="0" borderId="107" xfId="49" applyNumberFormat="1" applyFont="1" applyBorder="1" applyAlignment="1">
      <alignment horizontal="center" vertical="center"/>
    </xf>
    <xf numFmtId="2" fontId="76" fillId="0" borderId="108" xfId="49" applyNumberFormat="1" applyFont="1" applyBorder="1" applyAlignment="1">
      <alignment horizontal="center" vertical="center"/>
    </xf>
    <xf numFmtId="0" fontId="75" fillId="0" borderId="0" xfId="0" applyFont="1" applyAlignment="1">
      <alignment horizontal="left" vertical="center" wrapText="1"/>
    </xf>
    <xf numFmtId="173" fontId="74" fillId="0" borderId="82" xfId="0" applyNumberFormat="1" applyFont="1" applyBorder="1" applyAlignment="1">
      <alignment horizontal="center" vertical="center"/>
    </xf>
    <xf numFmtId="173" fontId="74" fillId="0" borderId="14" xfId="0" applyNumberFormat="1" applyFont="1" applyBorder="1" applyAlignment="1">
      <alignment horizontal="center" vertical="center"/>
    </xf>
    <xf numFmtId="173" fontId="74" fillId="0" borderId="83" xfId="0" applyNumberFormat="1" applyFont="1" applyBorder="1" applyAlignment="1">
      <alignment horizontal="center" vertical="center"/>
    </xf>
    <xf numFmtId="173" fontId="74" fillId="0" borderId="62" xfId="0" applyNumberFormat="1" applyFont="1" applyBorder="1" applyAlignment="1">
      <alignment horizontal="center" vertical="center"/>
    </xf>
    <xf numFmtId="173" fontId="74" fillId="0" borderId="13" xfId="0" applyNumberFormat="1" applyFont="1" applyBorder="1" applyAlignment="1">
      <alignment horizontal="center" vertical="center"/>
    </xf>
    <xf numFmtId="173" fontId="74" fillId="0" borderId="85" xfId="0" applyNumberFormat="1" applyFont="1" applyBorder="1" applyAlignment="1">
      <alignment horizontal="center" vertical="center"/>
    </xf>
    <xf numFmtId="0" fontId="75" fillId="7" borderId="27" xfId="0" applyFont="1" applyFill="1" applyBorder="1" applyAlignment="1">
      <alignment horizontal="center" vertical="center"/>
    </xf>
    <xf numFmtId="0" fontId="75" fillId="7" borderId="6" xfId="0" applyFont="1" applyFill="1" applyBorder="1" applyAlignment="1">
      <alignment horizontal="center" vertical="center"/>
    </xf>
    <xf numFmtId="0" fontId="75" fillId="7" borderId="8" xfId="0" applyFont="1" applyFill="1" applyBorder="1" applyAlignment="1">
      <alignment horizontal="center" vertical="center"/>
    </xf>
    <xf numFmtId="0" fontId="75" fillId="7" borderId="82" xfId="0" applyFont="1" applyFill="1" applyBorder="1" applyAlignment="1">
      <alignment horizontal="center" vertical="center"/>
    </xf>
    <xf numFmtId="0" fontId="75" fillId="7" borderId="83" xfId="0" applyFont="1" applyFill="1" applyBorder="1" applyAlignment="1">
      <alignment horizontal="center" vertical="center"/>
    </xf>
    <xf numFmtId="0" fontId="75" fillId="7" borderId="62" xfId="0" applyFont="1" applyFill="1" applyBorder="1" applyAlignment="1">
      <alignment horizontal="center" vertical="center"/>
    </xf>
    <xf numFmtId="0" fontId="75" fillId="7" borderId="84" xfId="0" applyFont="1" applyFill="1" applyBorder="1" applyAlignment="1">
      <alignment horizontal="center" vertical="center"/>
    </xf>
    <xf numFmtId="0" fontId="75" fillId="7" borderId="75" xfId="0" applyFont="1" applyFill="1" applyBorder="1" applyAlignment="1">
      <alignment horizontal="center"/>
    </xf>
    <xf numFmtId="0" fontId="75" fillId="7" borderId="76" xfId="0" applyFont="1" applyFill="1" applyBorder="1" applyAlignment="1">
      <alignment horizontal="center"/>
    </xf>
    <xf numFmtId="0" fontId="75" fillId="7" borderId="77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60" fillId="6" borderId="75" xfId="0" applyFont="1" applyFill="1" applyBorder="1" applyAlignment="1">
      <alignment horizontal="center"/>
    </xf>
    <xf numFmtId="0" fontId="60" fillId="6" borderId="76" xfId="0" applyFont="1" applyFill="1" applyBorder="1" applyAlignment="1">
      <alignment horizontal="center"/>
    </xf>
    <xf numFmtId="0" fontId="60" fillId="6" borderId="77" xfId="0" applyFont="1" applyFill="1" applyBorder="1" applyAlignment="1">
      <alignment horizontal="center"/>
    </xf>
    <xf numFmtId="0" fontId="47" fillId="0" borderId="0" xfId="0" applyFont="1" applyBorder="1" applyAlignment="1">
      <alignment horizontal="center" vertical="center"/>
    </xf>
    <xf numFmtId="0" fontId="0" fillId="0" borderId="0" xfId="0" applyBorder="1"/>
    <xf numFmtId="0" fontId="66" fillId="0" borderId="0" xfId="0" applyFont="1" applyBorder="1" applyAlignment="1">
      <alignment horizontal="center" vertical="center"/>
    </xf>
    <xf numFmtId="0" fontId="29" fillId="2" borderId="92" xfId="0" applyFont="1" applyFill="1" applyBorder="1" applyAlignment="1">
      <alignment horizontal="center" vertical="center"/>
    </xf>
    <xf numFmtId="0" fontId="29" fillId="2" borderId="93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/>
    </xf>
    <xf numFmtId="0" fontId="21" fillId="6" borderId="33" xfId="0" applyFont="1" applyFill="1" applyBorder="1" applyAlignment="1">
      <alignment horizontal="center"/>
    </xf>
    <xf numFmtId="0" fontId="21" fillId="6" borderId="34" xfId="0" applyFont="1" applyFill="1" applyBorder="1" applyAlignment="1">
      <alignment horizontal="center"/>
    </xf>
    <xf numFmtId="0" fontId="21" fillId="6" borderId="100" xfId="0" applyFont="1" applyFill="1" applyBorder="1" applyAlignment="1">
      <alignment horizontal="center"/>
    </xf>
    <xf numFmtId="0" fontId="0" fillId="6" borderId="24" xfId="0" applyFill="1" applyBorder="1"/>
    <xf numFmtId="0" fontId="0" fillId="6" borderId="51" xfId="0" applyFill="1" applyBorder="1"/>
    <xf numFmtId="0" fontId="21" fillId="6" borderId="90" xfId="0" applyFont="1" applyFill="1" applyBorder="1" applyAlignment="1">
      <alignment horizontal="center"/>
    </xf>
    <xf numFmtId="0" fontId="70" fillId="6" borderId="0" xfId="0" applyFont="1" applyFill="1" applyBorder="1" applyAlignment="1">
      <alignment horizontal="center"/>
    </xf>
    <xf numFmtId="0" fontId="45" fillId="0" borderId="0" xfId="0" applyFont="1" applyBorder="1" applyAlignment="1">
      <alignment horizontal="center"/>
    </xf>
    <xf numFmtId="0" fontId="47" fillId="6" borderId="12" xfId="0" applyFont="1" applyFill="1" applyBorder="1" applyAlignment="1">
      <alignment horizontal="center" vertical="center"/>
    </xf>
    <xf numFmtId="0" fontId="0" fillId="6" borderId="5" xfId="0" applyFill="1" applyBorder="1"/>
    <xf numFmtId="0" fontId="0" fillId="6" borderId="16" xfId="0" applyFill="1" applyBorder="1"/>
    <xf numFmtId="0" fontId="66" fillId="2" borderId="12" xfId="0" applyFont="1" applyFill="1" applyBorder="1" applyAlignment="1">
      <alignment horizontal="center" vertical="center"/>
    </xf>
    <xf numFmtId="0" fontId="66" fillId="2" borderId="5" xfId="0" applyFont="1" applyFill="1" applyBorder="1" applyAlignment="1">
      <alignment horizontal="center" vertical="center"/>
    </xf>
    <xf numFmtId="0" fontId="66" fillId="2" borderId="16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60" fillId="5" borderId="75" xfId="0" applyFont="1" applyFill="1" applyBorder="1" applyAlignment="1">
      <alignment horizontal="center"/>
    </xf>
    <xf numFmtId="0" fontId="60" fillId="5" borderId="76" xfId="0" applyFont="1" applyFill="1" applyBorder="1" applyAlignment="1">
      <alignment horizontal="center"/>
    </xf>
    <xf numFmtId="0" fontId="60" fillId="5" borderId="77" xfId="0" applyFont="1" applyFill="1" applyBorder="1" applyAlignment="1">
      <alignment horizontal="center"/>
    </xf>
    <xf numFmtId="0" fontId="45" fillId="0" borderId="0" xfId="0" applyFont="1" applyFill="1" applyBorder="1" applyAlignment="1">
      <alignment horizontal="center" vertical="center"/>
    </xf>
    <xf numFmtId="0" fontId="43" fillId="5" borderId="25" xfId="0" applyFont="1" applyFill="1" applyBorder="1" applyAlignment="1">
      <alignment horizontal="center" vertical="center" wrapText="1"/>
    </xf>
    <xf numFmtId="0" fontId="43" fillId="5" borderId="2" xfId="0" applyFont="1" applyFill="1" applyBorder="1" applyAlignment="1">
      <alignment horizontal="center" vertical="center" wrapText="1"/>
    </xf>
    <xf numFmtId="0" fontId="43" fillId="5" borderId="3" xfId="0" applyFont="1" applyFill="1" applyBorder="1" applyAlignment="1">
      <alignment horizontal="center" vertical="center" wrapText="1"/>
    </xf>
    <xf numFmtId="0" fontId="48" fillId="2" borderId="27" xfId="0" applyFont="1" applyFill="1" applyBorder="1" applyAlignment="1">
      <alignment horizontal="center" vertical="center"/>
    </xf>
    <xf numFmtId="0" fontId="48" fillId="2" borderId="8" xfId="0" applyFont="1" applyFill="1" applyBorder="1" applyAlignment="1">
      <alignment horizontal="center" vertical="center"/>
    </xf>
    <xf numFmtId="0" fontId="30" fillId="5" borderId="32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horizontal="center" vertical="center"/>
    </xf>
    <xf numFmtId="0" fontId="30" fillId="5" borderId="36" xfId="0" applyFont="1" applyFill="1" applyBorder="1" applyAlignment="1">
      <alignment horizontal="center" vertical="center"/>
    </xf>
    <xf numFmtId="0" fontId="21" fillId="5" borderId="90" xfId="0" applyFont="1" applyFill="1" applyBorder="1" applyAlignment="1">
      <alignment horizontal="center"/>
    </xf>
    <xf numFmtId="0" fontId="21" fillId="5" borderId="33" xfId="0" applyFont="1" applyFill="1" applyBorder="1" applyAlignment="1">
      <alignment horizontal="center"/>
    </xf>
    <xf numFmtId="0" fontId="21" fillId="5" borderId="34" xfId="0" applyFont="1" applyFill="1" applyBorder="1" applyAlignment="1">
      <alignment horizontal="center"/>
    </xf>
    <xf numFmtId="0" fontId="29" fillId="2" borderId="34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/>
    </xf>
    <xf numFmtId="0" fontId="21" fillId="5" borderId="100" xfId="0" applyFont="1" applyFill="1" applyBorder="1" applyAlignment="1">
      <alignment horizontal="center"/>
    </xf>
    <xf numFmtId="0" fontId="21" fillId="5" borderId="24" xfId="0" applyFont="1" applyFill="1" applyBorder="1" applyAlignment="1">
      <alignment horizontal="center"/>
    </xf>
    <xf numFmtId="0" fontId="21" fillId="5" borderId="32" xfId="0" applyFont="1" applyFill="1" applyBorder="1" applyAlignment="1">
      <alignment horizontal="center"/>
    </xf>
    <xf numFmtId="0" fontId="29" fillId="2" borderId="32" xfId="0" applyFont="1" applyFill="1" applyBorder="1" applyAlignment="1">
      <alignment horizontal="center" vertical="center"/>
    </xf>
    <xf numFmtId="0" fontId="29" fillId="2" borderId="36" xfId="0" applyFont="1" applyFill="1" applyBorder="1" applyAlignment="1">
      <alignment horizontal="center" vertical="center"/>
    </xf>
    <xf numFmtId="0" fontId="21" fillId="5" borderId="51" xfId="0" applyFont="1" applyFill="1" applyBorder="1" applyAlignment="1">
      <alignment horizontal="center"/>
    </xf>
    <xf numFmtId="0" fontId="70" fillId="5" borderId="0" xfId="0" applyFont="1" applyFill="1" applyBorder="1" applyAlignment="1">
      <alignment horizontal="center"/>
    </xf>
    <xf numFmtId="0" fontId="47" fillId="0" borderId="12" xfId="0" applyFont="1" applyBorder="1" applyAlignment="1">
      <alignment horizontal="center" vertical="center"/>
    </xf>
    <xf numFmtId="0" fontId="0" fillId="0" borderId="5" xfId="0" applyBorder="1"/>
    <xf numFmtId="0" fontId="0" fillId="0" borderId="16" xfId="0" applyBorder="1"/>
    <xf numFmtId="0" fontId="66" fillId="0" borderId="12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6" fillId="0" borderId="16" xfId="0" applyFont="1" applyBorder="1" applyAlignment="1">
      <alignment horizontal="center" vertical="center"/>
    </xf>
    <xf numFmtId="0" fontId="30" fillId="5" borderId="32" xfId="0" applyFont="1" applyFill="1" applyBorder="1" applyAlignment="1">
      <alignment horizontal="center" vertical="center"/>
    </xf>
    <xf numFmtId="0" fontId="30" fillId="5" borderId="102" xfId="0" applyFont="1" applyFill="1" applyBorder="1" applyAlignment="1">
      <alignment horizontal="center" vertical="center"/>
    </xf>
    <xf numFmtId="0" fontId="30" fillId="5" borderId="35" xfId="0" applyFont="1" applyFill="1" applyBorder="1" applyAlignment="1">
      <alignment horizontal="center" vertical="center"/>
    </xf>
    <xf numFmtId="0" fontId="30" fillId="5" borderId="10" xfId="0" applyFont="1" applyFill="1" applyBorder="1" applyAlignment="1">
      <alignment horizontal="center" vertical="center" wrapText="1"/>
    </xf>
    <xf numFmtId="0" fontId="30" fillId="5" borderId="36" xfId="0" applyFont="1" applyFill="1" applyBorder="1" applyAlignment="1">
      <alignment horizontal="center" vertical="center" wrapText="1"/>
    </xf>
    <xf numFmtId="0" fontId="21" fillId="5" borderId="81" xfId="0" applyFont="1" applyFill="1" applyBorder="1" applyAlignment="1">
      <alignment horizontal="center"/>
    </xf>
    <xf numFmtId="0" fontId="30" fillId="5" borderId="100" xfId="0" applyFont="1" applyFill="1" applyBorder="1" applyAlignment="1">
      <alignment horizontal="center" vertical="center"/>
    </xf>
    <xf numFmtId="0" fontId="30" fillId="5" borderId="101" xfId="0" applyFont="1" applyFill="1" applyBorder="1" applyAlignment="1">
      <alignment horizontal="center" vertical="center"/>
    </xf>
    <xf numFmtId="0" fontId="30" fillId="5" borderId="98" xfId="0" applyFont="1" applyFill="1" applyBorder="1" applyAlignment="1">
      <alignment horizontal="center" vertical="center"/>
    </xf>
    <xf numFmtId="0" fontId="30" fillId="5" borderId="25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15" fillId="2" borderId="82" xfId="0" applyFont="1" applyFill="1" applyBorder="1" applyAlignment="1">
      <alignment horizontal="center" vertical="center"/>
    </xf>
    <xf numFmtId="0" fontId="15" fillId="2" borderId="61" xfId="0" applyFont="1" applyFill="1" applyBorder="1" applyAlignment="1">
      <alignment horizontal="center" vertical="center"/>
    </xf>
    <xf numFmtId="0" fontId="15" fillId="2" borderId="100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78" xfId="0" applyFont="1" applyFill="1" applyBorder="1" applyAlignment="1">
      <alignment horizontal="center" vertical="center"/>
    </xf>
    <xf numFmtId="0" fontId="58" fillId="4" borderId="61" xfId="0" applyFont="1" applyFill="1" applyBorder="1" applyAlignment="1">
      <alignment horizontal="center" wrapText="1" shrinkToFit="1"/>
    </xf>
    <xf numFmtId="0" fontId="58" fillId="4" borderId="0" xfId="0" applyFont="1" applyFill="1" applyBorder="1" applyAlignment="1">
      <alignment horizontal="center" wrapText="1" shrinkToFit="1"/>
    </xf>
    <xf numFmtId="0" fontId="17" fillId="0" borderId="0" xfId="0" applyFont="1" applyFill="1" applyBorder="1" applyAlignment="1">
      <alignment horizontal="center" vertical="center"/>
    </xf>
  </cellXfs>
  <cellStyles count="51">
    <cellStyle name="Millares 2" xfId="4" xr:uid="{00000000-0005-0000-0000-000000000000}"/>
    <cellStyle name="Millares 2 2" xfId="12" xr:uid="{00000000-0005-0000-0000-000001000000}"/>
    <cellStyle name="Millares 2 3" xfId="22" xr:uid="{00000000-0005-0000-0000-000002000000}"/>
    <cellStyle name="Millares 2 4" xfId="36" xr:uid="{00000000-0005-0000-0000-000003000000}"/>
    <cellStyle name="Millares 3" xfId="6" xr:uid="{00000000-0005-0000-0000-000004000000}"/>
    <cellStyle name="Millares 3 2" xfId="14" xr:uid="{00000000-0005-0000-0000-000005000000}"/>
    <cellStyle name="Millares 3 3" xfId="24" xr:uid="{00000000-0005-0000-0000-000006000000}"/>
    <cellStyle name="Millares 3 4" xfId="38" xr:uid="{00000000-0005-0000-0000-000007000000}"/>
    <cellStyle name="Millares 4" xfId="8" xr:uid="{00000000-0005-0000-0000-000008000000}"/>
    <cellStyle name="Millares 4 2" xfId="16" xr:uid="{00000000-0005-0000-0000-000009000000}"/>
    <cellStyle name="Millares 4 3" xfId="26" xr:uid="{00000000-0005-0000-0000-00000A000000}"/>
    <cellStyle name="Millares 4 4" xfId="40" xr:uid="{00000000-0005-0000-0000-00000B000000}"/>
    <cellStyle name="Millares 5" xfId="10" xr:uid="{00000000-0005-0000-0000-00000C000000}"/>
    <cellStyle name="Millares 5 2" xfId="18" xr:uid="{00000000-0005-0000-0000-00000D000000}"/>
    <cellStyle name="Millares 5 3" xfId="28" xr:uid="{00000000-0005-0000-0000-00000E000000}"/>
    <cellStyle name="Millares 5 4" xfId="42" xr:uid="{00000000-0005-0000-0000-00000F000000}"/>
    <cellStyle name="Millares 6" xfId="20" xr:uid="{00000000-0005-0000-0000-000010000000}"/>
    <cellStyle name="Millares 6 2" xfId="30" xr:uid="{00000000-0005-0000-0000-000011000000}"/>
    <cellStyle name="Millares 6 3" xfId="44" xr:uid="{00000000-0005-0000-0000-000012000000}"/>
    <cellStyle name="Millares 7" xfId="32" xr:uid="{00000000-0005-0000-0000-000013000000}"/>
    <cellStyle name="Millares 7 2" xfId="46" xr:uid="{00000000-0005-0000-0000-000014000000}"/>
    <cellStyle name="Millares 8" xfId="34" xr:uid="{00000000-0005-0000-0000-000015000000}"/>
    <cellStyle name="Millares 8 2" xfId="48" xr:uid="{00000000-0005-0000-0000-000016000000}"/>
    <cellStyle name="Millares 9" xfId="50" xr:uid="{00000000-0005-0000-0000-00005F000000}"/>
    <cellStyle name="Normal" xfId="0" builtinId="0"/>
    <cellStyle name="Normal 10" xfId="49" xr:uid="{00000000-0005-0000-0000-000060000000}"/>
    <cellStyle name="Normal 2" xfId="3" xr:uid="{00000000-0005-0000-0000-000018000000}"/>
    <cellStyle name="Normal 3" xfId="2" xr:uid="{00000000-0005-0000-0000-000019000000}"/>
    <cellStyle name="Normal 3 2" xfId="11" xr:uid="{00000000-0005-0000-0000-00001A000000}"/>
    <cellStyle name="Normal 3 3" xfId="21" xr:uid="{00000000-0005-0000-0000-00001B000000}"/>
    <cellStyle name="Normal 3 4" xfId="35" xr:uid="{00000000-0005-0000-0000-00001C000000}"/>
    <cellStyle name="Normal 4" xfId="5" xr:uid="{00000000-0005-0000-0000-00001D000000}"/>
    <cellStyle name="Normal 4 2" xfId="13" xr:uid="{00000000-0005-0000-0000-00001E000000}"/>
    <cellStyle name="Normal 4 3" xfId="23" xr:uid="{00000000-0005-0000-0000-00001F000000}"/>
    <cellStyle name="Normal 4 4" xfId="37" xr:uid="{00000000-0005-0000-0000-000020000000}"/>
    <cellStyle name="Normal 5" xfId="7" xr:uid="{00000000-0005-0000-0000-000021000000}"/>
    <cellStyle name="Normal 5 2" xfId="15" xr:uid="{00000000-0005-0000-0000-000022000000}"/>
    <cellStyle name="Normal 5 3" xfId="25" xr:uid="{00000000-0005-0000-0000-000023000000}"/>
    <cellStyle name="Normal 5 4" xfId="39" xr:uid="{00000000-0005-0000-0000-000024000000}"/>
    <cellStyle name="Normal 6" xfId="9" xr:uid="{00000000-0005-0000-0000-000025000000}"/>
    <cellStyle name="Normal 6 2" xfId="17" xr:uid="{00000000-0005-0000-0000-000026000000}"/>
    <cellStyle name="Normal 6 3" xfId="27" xr:uid="{00000000-0005-0000-0000-000027000000}"/>
    <cellStyle name="Normal 6 4" xfId="41" xr:uid="{00000000-0005-0000-0000-000028000000}"/>
    <cellStyle name="Normal 7" xfId="19" xr:uid="{00000000-0005-0000-0000-000029000000}"/>
    <cellStyle name="Normal 7 2" xfId="29" xr:uid="{00000000-0005-0000-0000-00002A000000}"/>
    <cellStyle name="Normal 7 3" xfId="43" xr:uid="{00000000-0005-0000-0000-00002B000000}"/>
    <cellStyle name="Normal 8" xfId="31" xr:uid="{00000000-0005-0000-0000-00002C000000}"/>
    <cellStyle name="Normal 8 2" xfId="45" xr:uid="{00000000-0005-0000-0000-00002D000000}"/>
    <cellStyle name="Normal 9" xfId="33" xr:uid="{00000000-0005-0000-0000-00002E000000}"/>
    <cellStyle name="Normal 9 2" xfId="47" xr:uid="{00000000-0005-0000-0000-00002F000000}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FEPSA</c:v>
          </c:tx>
          <c:spPr>
            <a:ln w="12700">
              <a:solidFill>
                <a:srgbClr val="3333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2"/>
              <c:pt idx="0">
                <c:v>105522</c:v>
              </c:pt>
              <c:pt idx="1">
                <c:v>109030</c:v>
              </c:pt>
              <c:pt idx="2">
                <c:v>190175</c:v>
              </c:pt>
              <c:pt idx="3">
                <c:v>286760</c:v>
              </c:pt>
              <c:pt idx="4">
                <c:v>209724</c:v>
              </c:pt>
              <c:pt idx="5">
                <c:v>250059</c:v>
              </c:pt>
              <c:pt idx="6">
                <c:v>242008</c:v>
              </c:pt>
              <c:pt idx="7">
                <c:v>201669</c:v>
              </c:pt>
              <c:pt idx="8">
                <c:v>220437</c:v>
              </c:pt>
              <c:pt idx="9">
                <c:v>186209</c:v>
              </c:pt>
              <c:pt idx="10">
                <c:v>146180</c:v>
              </c:pt>
              <c:pt idx="11">
                <c:v>210980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905-4379-9192-7E4F3F0EB728}"/>
            </c:ext>
          </c:extLst>
        </c:ser>
        <c:ser>
          <c:idx val="1"/>
          <c:order val="1"/>
          <c:tx>
            <c:v>FSRSA</c:v>
          </c:tx>
          <c:spPr>
            <a:ln w="12700">
              <a:solidFill>
                <a:srgbClr val="996633"/>
              </a:solidFill>
              <a:prstDash val="solid"/>
            </a:ln>
          </c:spPr>
          <c:marker>
            <c:symbol val="dot"/>
            <c:size val="5"/>
            <c:spPr>
              <a:solidFill>
                <a:srgbClr val="996633"/>
              </a:solidFill>
              <a:ln>
                <a:solidFill>
                  <a:srgbClr val="996633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2"/>
              <c:pt idx="0">
                <c:v>256400</c:v>
              </c:pt>
              <c:pt idx="1">
                <c:v>285700</c:v>
              </c:pt>
              <c:pt idx="2">
                <c:v>298400</c:v>
              </c:pt>
              <c:pt idx="3">
                <c:v>273000</c:v>
              </c:pt>
              <c:pt idx="4">
                <c:v>218700</c:v>
              </c:pt>
              <c:pt idx="5">
                <c:v>241100</c:v>
              </c:pt>
              <c:pt idx="6">
                <c:v>229400</c:v>
              </c:pt>
              <c:pt idx="7">
                <c:v>235800</c:v>
              </c:pt>
              <c:pt idx="8">
                <c:v>229500</c:v>
              </c:pt>
              <c:pt idx="9">
                <c:v>261300</c:v>
              </c:pt>
              <c:pt idx="10">
                <c:v>274900</c:v>
              </c:pt>
              <c:pt idx="11">
                <c:v>275200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905-4379-9192-7E4F3F0EB728}"/>
            </c:ext>
          </c:extLst>
        </c:ser>
        <c:ser>
          <c:idx val="2"/>
          <c:order val="2"/>
          <c:tx>
            <c:v>FMGUSA</c:v>
          </c:tx>
          <c:spPr>
            <a:ln w="12700">
              <a:solidFill>
                <a:srgbClr val="999933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999933"/>
              </a:solidFill>
              <a:ln>
                <a:solidFill>
                  <a:srgbClr val="999933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2"/>
              <c:pt idx="0">
                <c:v>86416</c:v>
              </c:pt>
              <c:pt idx="1">
                <c:v>90316</c:v>
              </c:pt>
              <c:pt idx="2">
                <c:v>97231</c:v>
              </c:pt>
              <c:pt idx="3">
                <c:v>100729</c:v>
              </c:pt>
              <c:pt idx="4">
                <c:v>86210</c:v>
              </c:pt>
              <c:pt idx="5">
                <c:v>80206</c:v>
              </c:pt>
              <c:pt idx="6">
                <c:v>80798</c:v>
              </c:pt>
              <c:pt idx="7">
                <c:v>87073</c:v>
              </c:pt>
              <c:pt idx="8">
                <c:v>69904</c:v>
              </c:pt>
              <c:pt idx="9">
                <c:v>74244</c:v>
              </c:pt>
              <c:pt idx="10">
                <c:v>72585</c:v>
              </c:pt>
              <c:pt idx="11">
                <c:v>74754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905-4379-9192-7E4F3F0EB728}"/>
            </c:ext>
          </c:extLst>
        </c:ser>
        <c:ser>
          <c:idx val="3"/>
          <c:order val="3"/>
          <c:tx>
            <c:v>NCASA</c:v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2"/>
              <c:pt idx="0">
                <c:v>288006</c:v>
              </c:pt>
              <c:pt idx="1">
                <c:v>258422</c:v>
              </c:pt>
              <c:pt idx="2">
                <c:v>376774</c:v>
              </c:pt>
              <c:pt idx="3">
                <c:v>444364</c:v>
              </c:pt>
              <c:pt idx="4">
                <c:v>539346</c:v>
              </c:pt>
              <c:pt idx="5">
                <c:v>520115</c:v>
              </c:pt>
              <c:pt idx="6">
                <c:v>522277</c:v>
              </c:pt>
              <c:pt idx="7">
                <c:v>559716</c:v>
              </c:pt>
              <c:pt idx="8">
                <c:v>526007</c:v>
              </c:pt>
              <c:pt idx="9">
                <c:v>512475</c:v>
              </c:pt>
              <c:pt idx="10">
                <c:v>478906</c:v>
              </c:pt>
              <c:pt idx="11">
                <c:v>494201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905-4379-9192-7E4F3F0EB728}"/>
            </c:ext>
          </c:extLst>
        </c:ser>
        <c:ser>
          <c:idx val="4"/>
          <c:order val="4"/>
          <c:tx>
            <c:v>BAPSA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2"/>
              <c:pt idx="0">
                <c:v>253602</c:v>
              </c:pt>
              <c:pt idx="1">
                <c:v>259241</c:v>
              </c:pt>
              <c:pt idx="2">
                <c:v>289430</c:v>
              </c:pt>
              <c:pt idx="3">
                <c:v>274209</c:v>
              </c:pt>
              <c:pt idx="4">
                <c:v>280090</c:v>
              </c:pt>
              <c:pt idx="5">
                <c:v>227054</c:v>
              </c:pt>
              <c:pt idx="6">
                <c:v>181389</c:v>
              </c:pt>
              <c:pt idx="7">
                <c:v>210463</c:v>
              </c:pt>
              <c:pt idx="8">
                <c:v>213794</c:v>
              </c:pt>
              <c:pt idx="9">
                <c:v>234559</c:v>
              </c:pt>
              <c:pt idx="10">
                <c:v>237367</c:v>
              </c:pt>
              <c:pt idx="11">
                <c:v>266973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2905-4379-9192-7E4F3F0EB728}"/>
            </c:ext>
          </c:extLst>
        </c:ser>
        <c:ser>
          <c:idx val="5"/>
          <c:order val="5"/>
          <c:tx>
            <c:v>Belgrano Cargas SA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2"/>
              <c:pt idx="0">
                <c:v>80178</c:v>
              </c:pt>
              <c:pt idx="1">
                <c:v>59691</c:v>
              </c:pt>
              <c:pt idx="2">
                <c:v>62179</c:v>
              </c:pt>
              <c:pt idx="3">
                <c:v>103199</c:v>
              </c:pt>
              <c:pt idx="4">
                <c:v>144635</c:v>
              </c:pt>
              <c:pt idx="5">
                <c:v>150101</c:v>
              </c:pt>
              <c:pt idx="6">
                <c:v>150436</c:v>
              </c:pt>
              <c:pt idx="7">
                <c:v>140726</c:v>
              </c:pt>
              <c:pt idx="8">
                <c:v>141405</c:v>
              </c:pt>
              <c:pt idx="9">
                <c:v>124655</c:v>
              </c:pt>
              <c:pt idx="10">
                <c:v>113574</c:v>
              </c:pt>
              <c:pt idx="11">
                <c:v>106736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2905-4379-9192-7E4F3F0E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128832"/>
        <c:axId val="638129392"/>
      </c:lineChart>
      <c:catAx>
        <c:axId val="6381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6381293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381293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6381288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VALORES PROMEDIOS 1° SEMESTRE</a:t>
            </a:r>
          </a:p>
          <a:p>
            <a:pPr>
              <a:defRPr sz="2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- 2008 VS. 2009-</a:t>
            </a:r>
          </a:p>
          <a:p>
            <a:pPr>
              <a:defRPr sz="2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2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59179839362185"/>
          <c:y val="2.847083723770763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5616779065127343E-2"/>
          <c:y val="0.22776525479458898"/>
          <c:w val="0.85446960343593892"/>
          <c:h val="0.70108992491459421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'BASE ffcc'!$C$12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'BASE ffcc'!$A$13:$A$18</c:f>
              <c:strCache>
                <c:ptCount val="6"/>
                <c:pt idx="0">
                  <c:v>F. PAMPEANO</c:v>
                </c:pt>
                <c:pt idx="1">
                  <c:v>F. ROCA</c:v>
                </c:pt>
                <c:pt idx="2">
                  <c:v>A. MESOPOTAMICA</c:v>
                </c:pt>
                <c:pt idx="3">
                  <c:v>NVO. CTRAL. ARG.</c:v>
                </c:pt>
                <c:pt idx="4">
                  <c:v>A. CENTRAL</c:v>
                </c:pt>
                <c:pt idx="5">
                  <c:v>BELGRANO</c:v>
                </c:pt>
              </c:strCache>
            </c:strRef>
          </c:cat>
          <c:val>
            <c:numRef>
              <c:f>'BASE ffcc'!$C$13:$C$18</c:f>
              <c:numCache>
                <c:formatCode>0.0000</c:formatCode>
                <c:ptCount val="6"/>
                <c:pt idx="0" formatCode="0.000">
                  <c:v>0.11</c:v>
                </c:pt>
                <c:pt idx="1">
                  <c:v>7.7700000000000005E-2</c:v>
                </c:pt>
                <c:pt idx="2">
                  <c:v>4.8399999999999999E-2</c:v>
                </c:pt>
                <c:pt idx="3">
                  <c:v>7.6200000000000004E-2</c:v>
                </c:pt>
                <c:pt idx="4">
                  <c:v>4.9299999999999997E-2</c:v>
                </c:pt>
                <c:pt idx="5">
                  <c:v>7.7200000000000005E-2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D-4FF9-8021-F693CB22763D}"/>
            </c:ext>
          </c:extLst>
        </c:ser>
        <c:ser>
          <c:idx val="0"/>
          <c:order val="1"/>
          <c:tx>
            <c:strRef>
              <c:f>'BASE ffcc'!$D$12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'BASE ffcc'!$A$13:$A$18</c:f>
              <c:strCache>
                <c:ptCount val="6"/>
                <c:pt idx="0">
                  <c:v>F. PAMPEANO</c:v>
                </c:pt>
                <c:pt idx="1">
                  <c:v>F. ROCA</c:v>
                </c:pt>
                <c:pt idx="2">
                  <c:v>A. MESOPOTAMICA</c:v>
                </c:pt>
                <c:pt idx="3">
                  <c:v>NVO. CTRAL. ARG.</c:v>
                </c:pt>
                <c:pt idx="4">
                  <c:v>A. CENTRAL</c:v>
                </c:pt>
                <c:pt idx="5">
                  <c:v>BELGRANO</c:v>
                </c:pt>
              </c:strCache>
            </c:strRef>
          </c:cat>
          <c:val>
            <c:numRef>
              <c:f>'BASE ffcc'!$D$13:$D$18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1A0D-4FF9-8021-F693CB227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8132752"/>
        <c:axId val="638133312"/>
        <c:axId val="0"/>
      </c:bar3DChart>
      <c:catAx>
        <c:axId val="63813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63813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8133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PESO / TON.KM</a:t>
                </a:r>
              </a:p>
            </c:rich>
          </c:tx>
          <c:layout>
            <c:manualLayout>
              <c:xMode val="edge"/>
              <c:yMode val="edge"/>
              <c:x val="2.3630237009847455E-2"/>
              <c:y val="0.510691971674055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6381327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487557476368078"/>
          <c:y val="0.46537847955506451"/>
          <c:w val="0.99533242555206902"/>
          <c:h val="0.841944215232421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 orientation="landscape" horizont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VALORES PROMEDIOS 2° SEMESTRE</a:t>
            </a:r>
          </a:p>
          <a:p>
            <a:pPr>
              <a:defRPr sz="2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- 2007 VS. 2008</a:t>
            </a:r>
          </a:p>
          <a:p>
            <a:pPr>
              <a:defRPr sz="2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-</a:t>
            </a:r>
          </a:p>
          <a:p>
            <a:pPr>
              <a:defRPr sz="2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9392736020357005"/>
          <c:y val="2.819636288428299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485388657079165E-2"/>
          <c:y val="0.24060938026330725"/>
          <c:w val="0.88073179293667669"/>
          <c:h val="0.68235316434047288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'BASE TEMATICO 2º'!$B$2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'BASE TEMATICO 2º'!$A$3:$A$8</c:f>
              <c:strCache>
                <c:ptCount val="6"/>
                <c:pt idx="0">
                  <c:v>F. PAMPEANO</c:v>
                </c:pt>
                <c:pt idx="1">
                  <c:v>F. ROCA</c:v>
                </c:pt>
                <c:pt idx="2">
                  <c:v>A. MESOPOTAMICA</c:v>
                </c:pt>
                <c:pt idx="3">
                  <c:v>NVO. CTRAL. ARG.</c:v>
                </c:pt>
                <c:pt idx="4">
                  <c:v>A. CENTRAL</c:v>
                </c:pt>
                <c:pt idx="5">
                  <c:v>BELGRANO</c:v>
                </c:pt>
              </c:strCache>
            </c:strRef>
          </c:cat>
          <c:val>
            <c:numRef>
              <c:f>'BASE TEMATICO 2º'!$B$3:$B$8</c:f>
              <c:numCache>
                <c:formatCode>0.000</c:formatCode>
                <c:ptCount val="6"/>
                <c:pt idx="0">
                  <c:v>7.3899999999999993E-2</c:v>
                </c:pt>
                <c:pt idx="1">
                  <c:v>7.8700000000000006E-2</c:v>
                </c:pt>
                <c:pt idx="2">
                  <c:v>5.0999999999999997E-2</c:v>
                </c:pt>
                <c:pt idx="3">
                  <c:v>6.4600000000000005E-2</c:v>
                </c:pt>
                <c:pt idx="4">
                  <c:v>4.99E-2</c:v>
                </c:pt>
                <c:pt idx="5">
                  <c:v>7.8299999999999995E-2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E-4924-9AC7-AE026D49054F}"/>
            </c:ext>
          </c:extLst>
        </c:ser>
        <c:ser>
          <c:idx val="0"/>
          <c:order val="1"/>
          <c:tx>
            <c:strRef>
              <c:f>'BASE TEMATICO 2º'!$C$2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'BASE TEMATICO 2º'!$A$3:$A$8</c:f>
              <c:strCache>
                <c:ptCount val="6"/>
                <c:pt idx="0">
                  <c:v>F. PAMPEANO</c:v>
                </c:pt>
                <c:pt idx="1">
                  <c:v>F. ROCA</c:v>
                </c:pt>
                <c:pt idx="2">
                  <c:v>A. MESOPOTAMICA</c:v>
                </c:pt>
                <c:pt idx="3">
                  <c:v>NVO. CTRAL. ARG.</c:v>
                </c:pt>
                <c:pt idx="4">
                  <c:v>A. CENTRAL</c:v>
                </c:pt>
                <c:pt idx="5">
                  <c:v>BELGRANO</c:v>
                </c:pt>
              </c:strCache>
            </c:strRef>
          </c:cat>
          <c:val>
            <c:numRef>
              <c:f>'BASE TEMATICO 2º'!$C$3:$C$8</c:f>
              <c:numCache>
                <c:formatCode>0.000</c:formatCode>
                <c:ptCount val="6"/>
                <c:pt idx="0">
                  <c:v>0.12939999999999999</c:v>
                </c:pt>
                <c:pt idx="1">
                  <c:v>9.0899999999999995E-2</c:v>
                </c:pt>
                <c:pt idx="2">
                  <c:v>6.9900000000000004E-2</c:v>
                </c:pt>
                <c:pt idx="3">
                  <c:v>0.08</c:v>
                </c:pt>
                <c:pt idx="4">
                  <c:v>0.10743999999999999</c:v>
                </c:pt>
                <c:pt idx="5">
                  <c:v>8.6999999999999994E-2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E-4924-9AC7-AE026D490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8323248"/>
        <c:axId val="638327168"/>
        <c:axId val="0"/>
      </c:bar3DChart>
      <c:catAx>
        <c:axId val="63832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638327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8327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PESO / TON.KM</a:t>
                </a:r>
              </a:p>
            </c:rich>
          </c:tx>
          <c:layout>
            <c:manualLayout>
              <c:xMode val="edge"/>
              <c:yMode val="edge"/>
              <c:x val="3.763113880427868E-2"/>
              <c:y val="0.5150547832552825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638323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651953337293512"/>
          <c:y val="0.52534507295406085"/>
          <c:w val="0.99682056596857971"/>
          <c:h val="0.806779827943645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s-AR"/>
              <a:t>" EVOLUCION DE FLETES MARITMOS - AÑO 2003"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ARG.- HOLANDA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General</c:formatCode>
              <c:ptCount val="12"/>
              <c:pt idx="0">
                <c:v>40</c:v>
              </c:pt>
              <c:pt idx="1">
                <c:v>48</c:v>
              </c:pt>
              <c:pt idx="2">
                <c:v>47.05</c:v>
              </c:pt>
              <c:pt idx="3">
                <c:v>46.6</c:v>
              </c:pt>
              <c:pt idx="4">
                <c:v>42.325000000000003</c:v>
              </c:pt>
              <c:pt idx="5">
                <c:v>40.575000000000003</c:v>
              </c:pt>
              <c:pt idx="6">
                <c:v>60.424999999999997</c:v>
              </c:pt>
            </c:numLit>
          </c:val>
          <c:extLst>
            <c:ext xmlns:c16="http://schemas.microsoft.com/office/drawing/2014/chart" uri="{C3380CC4-5D6E-409C-BE32-E72D297353CC}">
              <c16:uniqueId val="{00000000-4EAE-47BE-85C3-49C08B6A6764}"/>
            </c:ext>
          </c:extLst>
        </c:ser>
        <c:ser>
          <c:idx val="1"/>
          <c:order val="1"/>
          <c:tx>
            <c:v>GOLFO - HOLANDA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General</c:formatCode>
              <c:ptCount val="12"/>
              <c:pt idx="0">
                <c:v>44.650000000000006</c:v>
              </c:pt>
              <c:pt idx="1">
                <c:v>54.224999999999994</c:v>
              </c:pt>
              <c:pt idx="2">
                <c:v>54.05</c:v>
              </c:pt>
              <c:pt idx="3">
                <c:v>53.7</c:v>
              </c:pt>
              <c:pt idx="4">
                <c:v>36.575000000000003</c:v>
              </c:pt>
              <c:pt idx="5">
                <c:v>33.825000000000003</c:v>
              </c:pt>
              <c:pt idx="6">
                <c:v>47.7</c:v>
              </c:pt>
            </c:numLit>
          </c:val>
          <c:extLst>
            <c:ext xmlns:c16="http://schemas.microsoft.com/office/drawing/2014/chart" uri="{C3380CC4-5D6E-409C-BE32-E72D297353CC}">
              <c16:uniqueId val="{00000001-4EAE-47BE-85C3-49C08B6A6764}"/>
            </c:ext>
          </c:extLst>
        </c:ser>
        <c:ser>
          <c:idx val="2"/>
          <c:order val="2"/>
          <c:tx>
            <c:v>ARG.- JAPON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General</c:formatCode>
              <c:ptCount val="12"/>
              <c:pt idx="0">
                <c:v>62.5</c:v>
              </c:pt>
              <c:pt idx="1">
                <c:v>64</c:v>
              </c:pt>
              <c:pt idx="2">
                <c:v>64.05</c:v>
              </c:pt>
              <c:pt idx="3">
                <c:v>66.300000000000011</c:v>
              </c:pt>
              <c:pt idx="4">
                <c:v>58.975000000000001</c:v>
              </c:pt>
              <c:pt idx="5">
                <c:v>49.674999999999997</c:v>
              </c:pt>
              <c:pt idx="6">
                <c:v>77.05</c:v>
              </c:pt>
            </c:numLit>
          </c:val>
          <c:extLst>
            <c:ext xmlns:c16="http://schemas.microsoft.com/office/drawing/2014/chart" uri="{C3380CC4-5D6E-409C-BE32-E72D297353CC}">
              <c16:uniqueId val="{00000002-4EAE-47BE-85C3-49C08B6A6764}"/>
            </c:ext>
          </c:extLst>
        </c:ser>
        <c:ser>
          <c:idx val="3"/>
          <c:order val="3"/>
          <c:tx>
            <c:v>GOLFO - JAPON</c:v>
          </c:tx>
          <c:spPr>
            <a:solidFill>
              <a:srgbClr val="008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General</c:formatCode>
              <c:ptCount val="12"/>
              <c:pt idx="0">
                <c:v>52.75</c:v>
              </c:pt>
              <c:pt idx="1">
                <c:v>57.5</c:v>
              </c:pt>
              <c:pt idx="2">
                <c:v>54.05</c:v>
              </c:pt>
              <c:pt idx="3">
                <c:v>55.275000000000006</c:v>
              </c:pt>
              <c:pt idx="4">
                <c:v>49.3125</c:v>
              </c:pt>
              <c:pt idx="5">
                <c:v>42</c:v>
              </c:pt>
              <c:pt idx="6">
                <c:v>57</c:v>
              </c:pt>
            </c:numLit>
          </c:val>
          <c:extLst>
            <c:ext xmlns:c16="http://schemas.microsoft.com/office/drawing/2014/chart" uri="{C3380CC4-5D6E-409C-BE32-E72D297353CC}">
              <c16:uniqueId val="{00000003-4EAE-47BE-85C3-49C08B6A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1386746656"/>
        <c:axId val="1386747216"/>
      </c:barChart>
      <c:catAx>
        <c:axId val="138674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s-AR"/>
          </a:p>
        </c:txPr>
        <c:crossAx val="138674721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386747216"/>
        <c:scaling>
          <c:orientation val="minMax"/>
          <c:min val="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s-AR"/>
                  <a:t>U$S / TON.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s-AR"/>
          </a:p>
        </c:txPr>
        <c:crossAx val="1386746656"/>
        <c:crosses val="autoZero"/>
        <c:crossBetween val="between"/>
        <c:maj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45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s-A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/>
              <a:t>VALORES COMPARATIVOS DE FLETES MARITIMOS CON DESTINO AFRICANO</a:t>
            </a:r>
          </a:p>
        </c:rich>
      </c:tx>
      <c:layout>
        <c:manualLayout>
          <c:xMode val="edge"/>
          <c:yMode val="edge"/>
          <c:x val="0.13750445111886789"/>
          <c:y val="3.3899880162038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17250669935658"/>
          <c:y val="0.18927209605266448"/>
          <c:w val="0.64793778585465001"/>
          <c:h val="0.50566724169293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'Informe Temático (4)'!$C$51</c:f>
              <c:strCache>
                <c:ptCount val="1"/>
                <c:pt idx="0">
                  <c:v>sept-05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(4)'!$C$52:$C$56</c:f>
              <c:numCache>
                <c:formatCode>0.00</c:formatCode>
                <c:ptCount val="5"/>
                <c:pt idx="0">
                  <c:v>43.5</c:v>
                </c:pt>
                <c:pt idx="1">
                  <c:v>42.1</c:v>
                </c:pt>
                <c:pt idx="2">
                  <c:v>39</c:v>
                </c:pt>
                <c:pt idx="3">
                  <c:v>36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D-48D8-8DB9-34E3ADF9AE03}"/>
            </c:ext>
          </c:extLst>
        </c:ser>
        <c:ser>
          <c:idx val="1"/>
          <c:order val="1"/>
          <c:tx>
            <c:strRef>
              <c:f>'Informe Temático (4)'!$D$51</c:f>
              <c:strCache>
                <c:ptCount val="1"/>
                <c:pt idx="0">
                  <c:v>sept-04</c:v>
                </c:pt>
              </c:strCache>
            </c:strRef>
          </c:tx>
          <c:spPr>
            <a:solidFill>
              <a:srgbClr val="FFFF00"/>
            </a:solidFill>
            <a:ln w="254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(4)'!$D$52:$D$56</c:f>
              <c:numCache>
                <c:formatCode>0.00</c:formatCode>
                <c:ptCount val="5"/>
                <c:pt idx="0">
                  <c:v>52.95</c:v>
                </c:pt>
                <c:pt idx="1">
                  <c:v>54.05</c:v>
                </c:pt>
                <c:pt idx="2">
                  <c:v>44.475000000000001</c:v>
                </c:pt>
                <c:pt idx="3">
                  <c:v>0</c:v>
                </c:pt>
                <c:pt idx="4">
                  <c:v>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FD-48D8-8DB9-34E3ADF9AE03}"/>
            </c:ext>
          </c:extLst>
        </c:ser>
        <c:ser>
          <c:idx val="2"/>
          <c:order val="2"/>
          <c:tx>
            <c:strRef>
              <c:f>'Informe Temático (4)'!$E$51</c:f>
              <c:strCache>
                <c:ptCount val="1"/>
                <c:pt idx="0">
                  <c:v>ago-03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(4)'!$E$52:$E$56</c:f>
              <c:numCache>
                <c:formatCode>0.00</c:formatCode>
                <c:ptCount val="5"/>
                <c:pt idx="0">
                  <c:v>29.774999999999999</c:v>
                </c:pt>
                <c:pt idx="1">
                  <c:v>28.966666666666665</c:v>
                </c:pt>
                <c:pt idx="2">
                  <c:v>28</c:v>
                </c:pt>
                <c:pt idx="3">
                  <c:v>0</c:v>
                </c:pt>
                <c:pt idx="4">
                  <c:v>27.55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FD-48D8-8DB9-34E3ADF9A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750576"/>
        <c:axId val="1386751136"/>
      </c:barChart>
      <c:catAx>
        <c:axId val="138675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ORIGEN</a:t>
                </a:r>
              </a:p>
            </c:rich>
          </c:tx>
          <c:layout>
            <c:manualLayout>
              <c:xMode val="edge"/>
              <c:yMode val="edge"/>
              <c:x val="0.31667635360012986"/>
              <c:y val="0.906810766301271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511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86751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U$S POR TM</a:t>
                </a:r>
              </a:p>
            </c:rich>
          </c:tx>
          <c:layout>
            <c:manualLayout>
              <c:xMode val="edge"/>
              <c:yMode val="edge"/>
              <c:x val="4.3751170278972858E-2"/>
              <c:y val="0.3361697434879463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50576"/>
        <c:crosses val="autoZero"/>
        <c:crossBetween val="between"/>
      </c:valAx>
      <c:spPr>
        <a:gradFill rotWithShape="0">
          <a:gsLst>
            <a:gs pos="0">
              <a:srgbClr val="00CCFF"/>
            </a:gs>
            <a:gs pos="100000">
              <a:srgbClr val="FF808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1031620531969589"/>
          <c:y val="0.28852540491262119"/>
          <c:w val="0.99178569689098139"/>
          <c:h val="0.915998147290412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/>
              <a:t>VALORES COMPARATIVOS DE FLETES MARITIMOS CON DESTINO ASIATICO</a:t>
            </a:r>
          </a:p>
        </c:rich>
      </c:tx>
      <c:layout>
        <c:manualLayout>
          <c:xMode val="edge"/>
          <c:yMode val="edge"/>
          <c:x val="0.14065963648035121"/>
          <c:y val="3.40918340263646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09845078754278"/>
          <c:y val="0.19602926479026239"/>
          <c:w val="0.7187122708022905"/>
          <c:h val="0.49717567156950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'Informe Temático (4)'!$I$51</c:f>
              <c:strCache>
                <c:ptCount val="1"/>
                <c:pt idx="0">
                  <c:v>sept-05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(4)'!$I$52:$I$56</c:f>
              <c:numCache>
                <c:formatCode>0.00</c:formatCode>
                <c:ptCount val="5"/>
                <c:pt idx="0">
                  <c:v>51.125</c:v>
                </c:pt>
                <c:pt idx="1">
                  <c:v>50.8</c:v>
                </c:pt>
                <c:pt idx="2">
                  <c:v>45.075000000000003</c:v>
                </c:pt>
                <c:pt idx="3">
                  <c:v>32.5</c:v>
                </c:pt>
                <c:pt idx="4">
                  <c:v>33.575000000000003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6-405B-9565-F7A26CE58458}"/>
            </c:ext>
          </c:extLst>
        </c:ser>
        <c:ser>
          <c:idx val="1"/>
          <c:order val="1"/>
          <c:tx>
            <c:strRef>
              <c:f>'Informe Temático (4)'!$J$51</c:f>
              <c:strCache>
                <c:ptCount val="1"/>
                <c:pt idx="0">
                  <c:v>sept-04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(4)'!$J$52:$J$56</c:f>
              <c:numCache>
                <c:formatCode>0.00</c:formatCode>
                <c:ptCount val="5"/>
                <c:pt idx="0">
                  <c:v>75.424999999999997</c:v>
                </c:pt>
                <c:pt idx="1">
                  <c:v>73.724999999999994</c:v>
                </c:pt>
                <c:pt idx="2">
                  <c:v>67.099999999999994</c:v>
                </c:pt>
                <c:pt idx="3">
                  <c:v>56.533333333333331</c:v>
                </c:pt>
                <c:pt idx="4">
                  <c:v>57.75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6-405B-9565-F7A26CE58458}"/>
            </c:ext>
          </c:extLst>
        </c:ser>
        <c:ser>
          <c:idx val="2"/>
          <c:order val="2"/>
          <c:tx>
            <c:strRef>
              <c:f>'Informe Temático (4)'!$K$51</c:f>
              <c:strCache>
                <c:ptCount val="1"/>
                <c:pt idx="0">
                  <c:v>ago-03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(4)'!$K$52:$K$56</c:f>
              <c:numCache>
                <c:formatCode>0.00</c:formatCode>
                <c:ptCount val="5"/>
                <c:pt idx="0">
                  <c:v>37.725000000000001</c:v>
                </c:pt>
                <c:pt idx="1">
                  <c:v>34.024999999999999</c:v>
                </c:pt>
                <c:pt idx="2">
                  <c:v>33.25</c:v>
                </c:pt>
                <c:pt idx="3">
                  <c:v>19.8</c:v>
                </c:pt>
                <c:pt idx="4">
                  <c:v>29.166666666666668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16-405B-9565-F7A26CE58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755056"/>
        <c:axId val="1386755616"/>
      </c:barChart>
      <c:catAx>
        <c:axId val="138675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ORIGEN</a:t>
                </a:r>
              </a:p>
            </c:rich>
          </c:tx>
          <c:layout>
            <c:manualLayout>
              <c:xMode val="edge"/>
              <c:yMode val="edge"/>
              <c:x val="0.29480708402573941"/>
              <c:y val="0.920485121944026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556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86755616"/>
        <c:scaling>
          <c:orientation val="minMax"/>
          <c:max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U$S POR TM</a:t>
                </a:r>
              </a:p>
            </c:rich>
          </c:tx>
          <c:layout>
            <c:manualLayout>
              <c:xMode val="edge"/>
              <c:yMode val="edge"/>
              <c:x val="9.6343578354480836E-3"/>
              <c:y val="0.31535167654604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lgDashDot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55056"/>
        <c:crosses val="autoZero"/>
        <c:crossBetween val="between"/>
      </c:valAx>
      <c:spPr>
        <a:gradFill rotWithShape="0">
          <a:gsLst>
            <a:gs pos="0">
              <a:srgbClr val="00CCFF"/>
            </a:gs>
            <a:gs pos="100000">
              <a:srgbClr val="FF808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274907204646758"/>
          <c:y val="0.30057123477542835"/>
          <c:w val="0.99214192900443654"/>
          <c:h val="0.929804771594561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4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/>
              <a:t>VALORES COMPARATIVOS DE FLETES CON DESTINO EUROPEO</a:t>
            </a:r>
          </a:p>
        </c:rich>
      </c:tx>
      <c:layout>
        <c:manualLayout>
          <c:xMode val="edge"/>
          <c:yMode val="edge"/>
          <c:x val="0.14059850705796278"/>
          <c:y val="3.38993558952763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228253048346651"/>
          <c:y val="0.18927209605266448"/>
          <c:w val="0.66536701428097411"/>
          <c:h val="0.50566724169293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'Informe Temático (4)'!$F$51</c:f>
              <c:strCache>
                <c:ptCount val="1"/>
                <c:pt idx="0">
                  <c:v>sept-05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(4)'!$F$52:$F$56</c:f>
              <c:numCache>
                <c:formatCode>0.00</c:formatCode>
                <c:ptCount val="5"/>
                <c:pt idx="0">
                  <c:v>34.725000000000001</c:v>
                </c:pt>
                <c:pt idx="1">
                  <c:v>32.799999999999997</c:v>
                </c:pt>
                <c:pt idx="2">
                  <c:v>26.933333333333334</c:v>
                </c:pt>
                <c:pt idx="3">
                  <c:v>0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8-4D99-9A59-4546191BFF7B}"/>
            </c:ext>
          </c:extLst>
        </c:ser>
        <c:ser>
          <c:idx val="1"/>
          <c:order val="1"/>
          <c:tx>
            <c:strRef>
              <c:f>'Informe Temático (4)'!$G$51</c:f>
              <c:strCache>
                <c:ptCount val="1"/>
                <c:pt idx="0">
                  <c:v>sept-04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(4)'!$G$52:$G$56</c:f>
              <c:numCache>
                <c:formatCode>0.00</c:formatCode>
                <c:ptCount val="5"/>
                <c:pt idx="0">
                  <c:v>69.424999999999997</c:v>
                </c:pt>
                <c:pt idx="1">
                  <c:v>61</c:v>
                </c:pt>
                <c:pt idx="2">
                  <c:v>58.5</c:v>
                </c:pt>
                <c:pt idx="3">
                  <c:v>0</c:v>
                </c:pt>
                <c:pt idx="4">
                  <c:v>42.825000000000003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78-4D99-9A59-4546191BFF7B}"/>
            </c:ext>
          </c:extLst>
        </c:ser>
        <c:ser>
          <c:idx val="2"/>
          <c:order val="2"/>
          <c:tx>
            <c:strRef>
              <c:f>'Informe Temático (4)'!$H$51</c:f>
              <c:strCache>
                <c:ptCount val="1"/>
                <c:pt idx="0">
                  <c:v>ago-03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'Informe Temático (4)'!$B$52:$B$56</c:f>
              <c:strCache>
                <c:ptCount val="5"/>
                <c:pt idx="0">
                  <c:v>ARGENTINA</c:v>
                </c:pt>
                <c:pt idx="1">
                  <c:v>BRASIL</c:v>
                </c:pt>
                <c:pt idx="2">
                  <c:v>GOLFO</c:v>
                </c:pt>
                <c:pt idx="3">
                  <c:v>PACIFICO NORTE</c:v>
                </c:pt>
                <c:pt idx="4">
                  <c:v>ST.LAWRENCE(x)</c:v>
                </c:pt>
              </c:strCache>
            </c:strRef>
          </c:cat>
          <c:val>
            <c:numRef>
              <c:f>'Informe Temático (4)'!$H$52:$H$56</c:f>
              <c:numCache>
                <c:formatCode>0.00</c:formatCode>
                <c:ptCount val="5"/>
                <c:pt idx="0">
                  <c:v>24.85</c:v>
                </c:pt>
                <c:pt idx="1">
                  <c:v>21.333333333333332</c:v>
                </c:pt>
                <c:pt idx="2">
                  <c:v>19.5</c:v>
                </c:pt>
                <c:pt idx="3">
                  <c:v>0</c:v>
                </c:pt>
                <c:pt idx="4">
                  <c:v>28.175000000000001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78-4D99-9A59-4546191BF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759536"/>
        <c:axId val="1386760096"/>
      </c:barChart>
      <c:catAx>
        <c:axId val="138675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ORIGEN</a:t>
                </a:r>
              </a:p>
            </c:rich>
          </c:tx>
          <c:layout>
            <c:manualLayout>
              <c:xMode val="edge"/>
              <c:yMode val="edge"/>
              <c:x val="0.29109811565951915"/>
              <c:y val="0.915285826040547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600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86760096"/>
        <c:scaling>
          <c:orientation val="minMax"/>
          <c:max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U$S POR TM</a:t>
                </a:r>
              </a:p>
            </c:rich>
          </c:tx>
          <c:layout>
            <c:manualLayout>
              <c:xMode val="edge"/>
              <c:yMode val="edge"/>
              <c:x val="4.3565460750154772E-2"/>
              <c:y val="0.327695040905402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59536"/>
        <c:crosses val="autoZero"/>
        <c:crossBetween val="between"/>
      </c:valAx>
      <c:spPr>
        <a:gradFill rotWithShape="0">
          <a:gsLst>
            <a:gs pos="0">
              <a:srgbClr val="00CCFF"/>
            </a:gs>
            <a:gs pos="100000">
              <a:srgbClr val="FF808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764664650836772"/>
          <c:y val="0.28970265903391601"/>
          <c:w val="0.99223404092032352"/>
          <c:h val="0.991674745392202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s-AR"/>
              <a:t>EVOLUCION FLETES INTERNACIONALES - AÑO 2004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BS. AS.-S. DE CHILE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ENERO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44</c:v>
              </c:pt>
              <c:pt idx="1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BCED-4E9D-A3F1-1FF0C5C8D63A}"/>
            </c:ext>
          </c:extLst>
        </c:ser>
        <c:ser>
          <c:idx val="1"/>
          <c:order val="1"/>
          <c:tx>
            <c:v>BS. AS.-SAN PABLO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ENERO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62</c:v>
              </c:pt>
              <c:pt idx="1">
                <c:v>69</c:v>
              </c:pt>
            </c:numLit>
          </c:val>
          <c:extLst>
            <c:ext xmlns:c16="http://schemas.microsoft.com/office/drawing/2014/chart" uri="{C3380CC4-5D6E-409C-BE32-E72D297353CC}">
              <c16:uniqueId val="{00000001-BCED-4E9D-A3F1-1FF0C5C8D63A}"/>
            </c:ext>
          </c:extLst>
        </c:ser>
        <c:ser>
          <c:idx val="2"/>
          <c:order val="2"/>
          <c:tx>
            <c:v>BS. AS.-ASUNCION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ENERO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37</c:v>
              </c:pt>
              <c:pt idx="1">
                <c:v>45</c:v>
              </c:pt>
            </c:numLit>
          </c:val>
          <c:extLst>
            <c:ext xmlns:c16="http://schemas.microsoft.com/office/drawing/2014/chart" uri="{C3380CC4-5D6E-409C-BE32-E72D297353CC}">
              <c16:uniqueId val="{00000002-BCED-4E9D-A3F1-1FF0C5C8D63A}"/>
            </c:ext>
          </c:extLst>
        </c:ser>
        <c:ser>
          <c:idx val="3"/>
          <c:order val="3"/>
          <c:tx>
            <c:v>BS. AS.-MONTEVIDEO</c:v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ENERO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24</c:v>
              </c:pt>
              <c:pt idx="1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3-BCED-4E9D-A3F1-1FF0C5C8D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86764576"/>
        <c:axId val="1386765136"/>
      </c:barChart>
      <c:catAx>
        <c:axId val="138676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s-AR"/>
          </a:p>
        </c:txPr>
        <c:crossAx val="13867651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86765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s-AR"/>
                  <a:t>U$S/TM.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s-AR"/>
          </a:p>
        </c:txPr>
        <c:crossAx val="138676457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45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/>
              <a:t>EVOLUCION DE FLETES MARITIMOS - ORIGEN ARGENTINA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712-4DB4-BF85-02FA08F9295C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712-4DB4-BF85-02FA08F9295C}"/>
            </c:ext>
          </c:extLst>
        </c:ser>
        <c:ser>
          <c:idx val="2"/>
          <c:order val="2"/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9712-4DB4-BF85-02FA08F92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86768496"/>
        <c:axId val="1386769056"/>
      </c:barChart>
      <c:catAx>
        <c:axId val="138676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690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86769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U$S/Ton.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6849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/>
              <a:t>EVOLUCION DE FLETES MARITIMOS - ORIGEN GOLFO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7B8-4BFB-AEB8-D5165E9DED81}"/>
            </c:ext>
          </c:extLst>
        </c:ser>
        <c:ser>
          <c:idx val="1"/>
          <c:order val="1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57B8-4BFB-AEB8-D5165E9DED81}"/>
            </c:ext>
          </c:extLst>
        </c:ser>
        <c:ser>
          <c:idx val="2"/>
          <c:order val="2"/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57B8-4BFB-AEB8-D5165E9DE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86772416"/>
        <c:axId val="1386772976"/>
      </c:barChart>
      <c:catAx>
        <c:axId val="138677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729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86772976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U$S/Ton.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7241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43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AR"/>
              <a:t>EVOLUCION DE LAS TARIFAS MEDIAS ENTRE LOS AÑOS 01-02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27C-4C8B-A4CC-3B0ABE3910F1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D27C-4C8B-A4CC-3B0ABE391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775776"/>
        <c:axId val="1348688912"/>
      </c:barChart>
      <c:catAx>
        <c:axId val="13867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486889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48688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AR"/>
                  <a:t>
$/TON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386775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7327434" name="Gráfico 1">
          <a:extLst>
            <a:ext uri="{FF2B5EF4-FFF2-40B4-BE49-F238E27FC236}">
              <a16:creationId xmlns:a16="http://schemas.microsoft.com/office/drawing/2014/main" id="{00000000-0008-0000-0100-0000CAFBA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40</xdr:row>
      <xdr:rowOff>38100</xdr:rowOff>
    </xdr:from>
    <xdr:to>
      <xdr:col>14</xdr:col>
      <xdr:colOff>971550</xdr:colOff>
      <xdr:row>70</xdr:row>
      <xdr:rowOff>133350</xdr:rowOff>
    </xdr:to>
    <xdr:graphicFrame macro="">
      <xdr:nvGraphicFramePr>
        <xdr:cNvPr id="27344841" name="Gráfico 1">
          <a:extLst>
            <a:ext uri="{FF2B5EF4-FFF2-40B4-BE49-F238E27FC236}">
              <a16:creationId xmlns:a16="http://schemas.microsoft.com/office/drawing/2014/main" id="{00000000-0008-0000-0800-0000C93FA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2057400</xdr:colOff>
      <xdr:row>40</xdr:row>
      <xdr:rowOff>19050</xdr:rowOff>
    </xdr:from>
    <xdr:to>
      <xdr:col>15</xdr:col>
      <xdr:colOff>1038225</xdr:colOff>
      <xdr:row>71</xdr:row>
      <xdr:rowOff>76200</xdr:rowOff>
    </xdr:to>
    <xdr:graphicFrame macro="">
      <xdr:nvGraphicFramePr>
        <xdr:cNvPr id="27303884" name="Gráfico 3">
          <a:extLst>
            <a:ext uri="{FF2B5EF4-FFF2-40B4-BE49-F238E27FC236}">
              <a16:creationId xmlns:a16="http://schemas.microsoft.com/office/drawing/2014/main" id="{00000000-0008-0000-0900-0000CC9FA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67</xdr:row>
      <xdr:rowOff>0</xdr:rowOff>
    </xdr:from>
    <xdr:to>
      <xdr:col>10</xdr:col>
      <xdr:colOff>219075</xdr:colOff>
      <xdr:row>67</xdr:row>
      <xdr:rowOff>0</xdr:rowOff>
    </xdr:to>
    <xdr:graphicFrame macro="">
      <xdr:nvGraphicFramePr>
        <xdr:cNvPr id="36943649" name="Gráfico 1">
          <a:extLst>
            <a:ext uri="{FF2B5EF4-FFF2-40B4-BE49-F238E27FC236}">
              <a16:creationId xmlns:a16="http://schemas.microsoft.com/office/drawing/2014/main" id="{00000000-0008-0000-0A00-000021B73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60</xdr:row>
      <xdr:rowOff>47625</xdr:rowOff>
    </xdr:from>
    <xdr:to>
      <xdr:col>3</xdr:col>
      <xdr:colOff>1600200</xdr:colOff>
      <xdr:row>70</xdr:row>
      <xdr:rowOff>190500</xdr:rowOff>
    </xdr:to>
    <xdr:graphicFrame macro="">
      <xdr:nvGraphicFramePr>
        <xdr:cNvPr id="36943650" name="Gráfico 2">
          <a:extLst>
            <a:ext uri="{FF2B5EF4-FFF2-40B4-BE49-F238E27FC236}">
              <a16:creationId xmlns:a16="http://schemas.microsoft.com/office/drawing/2014/main" id="{00000000-0008-0000-0A00-000022B73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609600</xdr:colOff>
      <xdr:row>60</xdr:row>
      <xdr:rowOff>19050</xdr:rowOff>
    </xdr:from>
    <xdr:to>
      <xdr:col>11</xdr:col>
      <xdr:colOff>38100</xdr:colOff>
      <xdr:row>70</xdr:row>
      <xdr:rowOff>152400</xdr:rowOff>
    </xdr:to>
    <xdr:graphicFrame macro="">
      <xdr:nvGraphicFramePr>
        <xdr:cNvPr id="36943651" name="Gráfico 3">
          <a:extLst>
            <a:ext uri="{FF2B5EF4-FFF2-40B4-BE49-F238E27FC236}">
              <a16:creationId xmlns:a16="http://schemas.microsoft.com/office/drawing/2014/main" id="{00000000-0008-0000-0A00-000023B73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85725</xdr:colOff>
      <xdr:row>60</xdr:row>
      <xdr:rowOff>19050</xdr:rowOff>
    </xdr:from>
    <xdr:to>
      <xdr:col>7</xdr:col>
      <xdr:colOff>381000</xdr:colOff>
      <xdr:row>70</xdr:row>
      <xdr:rowOff>180975</xdr:rowOff>
    </xdr:to>
    <xdr:graphicFrame macro="">
      <xdr:nvGraphicFramePr>
        <xdr:cNvPr id="36943652" name="Gráfico 4">
          <a:extLst>
            <a:ext uri="{FF2B5EF4-FFF2-40B4-BE49-F238E27FC236}">
              <a16:creationId xmlns:a16="http://schemas.microsoft.com/office/drawing/2014/main" id="{00000000-0008-0000-0A00-000024B73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19</xdr:row>
      <xdr:rowOff>0</xdr:rowOff>
    </xdr:from>
    <xdr:to>
      <xdr:col>4</xdr:col>
      <xdr:colOff>2552700</xdr:colOff>
      <xdr:row>19</xdr:row>
      <xdr:rowOff>0</xdr:rowOff>
    </xdr:to>
    <xdr:graphicFrame macro="">
      <xdr:nvGraphicFramePr>
        <xdr:cNvPr id="27353033" name="Gráfico 1">
          <a:extLst>
            <a:ext uri="{FF2B5EF4-FFF2-40B4-BE49-F238E27FC236}">
              <a16:creationId xmlns:a16="http://schemas.microsoft.com/office/drawing/2014/main" id="{00000000-0008-0000-0B00-0000C95FA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914400</xdr:colOff>
      <xdr:row>15</xdr:row>
      <xdr:rowOff>0</xdr:rowOff>
    </xdr:to>
    <xdr:graphicFrame macro="">
      <xdr:nvGraphicFramePr>
        <xdr:cNvPr id="35988313" name="Gráfico 1">
          <a:extLst>
            <a:ext uri="{FF2B5EF4-FFF2-40B4-BE49-F238E27FC236}">
              <a16:creationId xmlns:a16="http://schemas.microsoft.com/office/drawing/2014/main" id="{00000000-0008-0000-1300-000059232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9</xdr:col>
      <xdr:colOff>38100</xdr:colOff>
      <xdr:row>15</xdr:row>
      <xdr:rowOff>0</xdr:rowOff>
    </xdr:to>
    <xdr:graphicFrame macro="">
      <xdr:nvGraphicFramePr>
        <xdr:cNvPr id="35988314" name="Gráfico 2">
          <a:extLst>
            <a:ext uri="{FF2B5EF4-FFF2-40B4-BE49-F238E27FC236}">
              <a16:creationId xmlns:a16="http://schemas.microsoft.com/office/drawing/2014/main" id="{00000000-0008-0000-1300-00005A232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1562100</xdr:colOff>
      <xdr:row>15</xdr:row>
      <xdr:rowOff>0</xdr:rowOff>
    </xdr:from>
    <xdr:to>
      <xdr:col>5</xdr:col>
      <xdr:colOff>1885950</xdr:colOff>
      <xdr:row>15</xdr:row>
      <xdr:rowOff>0</xdr:rowOff>
    </xdr:to>
    <xdr:graphicFrame macro="">
      <xdr:nvGraphicFramePr>
        <xdr:cNvPr id="35988315" name="Gráfico 3">
          <a:extLst>
            <a:ext uri="{FF2B5EF4-FFF2-40B4-BE49-F238E27FC236}">
              <a16:creationId xmlns:a16="http://schemas.microsoft.com/office/drawing/2014/main" id="{00000000-0008-0000-1300-00005B232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XCEL/INFORME%20DE%20FLETES/2004/AGOSTO%2004/29-07%20AL%2005-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XCEL/INFORME%20DE%20FLETES/2004/AGOSTO%2004/26-08%20AL%2002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elch\Downloads\Mayo%252021\.Fletes%20Marit%20BD%20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CAMION"/>
      <sheetName val="Camión"/>
      <sheetName val="Base FF.CC."/>
      <sheetName val="Base FF.CC. (2)"/>
      <sheetName val="FF.CC."/>
      <sheetName val="Maritimo y Fluvial"/>
      <sheetName val="Hoja5"/>
      <sheetName val="Hoja1"/>
      <sheetName val="base marítimo"/>
      <sheetName val="Informe newsletter"/>
      <sheetName val="Informe Temático"/>
      <sheetName val="Inf. Mario"/>
      <sheetName val="Informe Temático (2)"/>
      <sheetName val="base temático"/>
    </sheetNames>
    <sheetDataSet>
      <sheetData sheetId="0"/>
      <sheetData sheetId="1">
        <row r="1">
          <cell r="B1" t="str">
            <v>INFORME SEMANAL DE FLETES DEL MERCADO DE GRANOS</v>
          </cell>
        </row>
        <row r="4">
          <cell r="B4" t="str">
            <v xml:space="preserve">                                   </v>
          </cell>
          <cell r="E4" t="str">
            <v>AGOSTO 2004</v>
          </cell>
        </row>
        <row r="6">
          <cell r="D6" t="str">
            <v>SEMANA 29-07 AL 05-08</v>
          </cell>
        </row>
        <row r="8">
          <cell r="D8" t="str">
            <v>TERRESTRE - CAMION</v>
          </cell>
        </row>
        <row r="10">
          <cell r="B10" t="str">
            <v>AREA REGIMENES ESPECIALES-DIRECCION DE MERCADOS AGROALIMENTARIOS</v>
          </cell>
        </row>
        <row r="11">
          <cell r="B11" t="str">
            <v>Responsable: Carlos M Ibañez</v>
          </cell>
        </row>
        <row r="12">
          <cell r="B12" t="str">
            <v>Colaboradores: J. Sosa - S. Rivera - R. Varela - D. Reynoso</v>
          </cell>
        </row>
        <row r="14">
          <cell r="B14" t="str">
            <v>CUADRO COMPARATIVO DIFERENTES KILOMETRAJES (ACTUALIZACION SEMANAL)</v>
          </cell>
        </row>
        <row r="16">
          <cell r="B16" t="str">
            <v>NACIONAL - A GRANEL</v>
          </cell>
        </row>
        <row r="17">
          <cell r="B17" t="str">
            <v>KILOMETROS</v>
          </cell>
          <cell r="C17" t="str">
            <v>VALOR   $ / TM.</v>
          </cell>
          <cell r="D17" t="str">
            <v>TONELAJE</v>
          </cell>
          <cell r="E17" t="str">
            <v>VALOR $ / TM.KM</v>
          </cell>
        </row>
        <row r="18">
          <cell r="B18">
            <v>10</v>
          </cell>
          <cell r="C18">
            <v>7.91</v>
          </cell>
          <cell r="D18">
            <v>30</v>
          </cell>
          <cell r="E18">
            <v>0.79100000000000004</v>
          </cell>
        </row>
        <row r="19">
          <cell r="B19">
            <v>20</v>
          </cell>
          <cell r="C19">
            <v>9.66</v>
          </cell>
          <cell r="D19">
            <v>30</v>
          </cell>
          <cell r="E19">
            <v>0.48300000000000004</v>
          </cell>
        </row>
        <row r="20">
          <cell r="B20">
            <v>100</v>
          </cell>
          <cell r="C20">
            <v>21.15</v>
          </cell>
          <cell r="D20">
            <v>30</v>
          </cell>
          <cell r="E20">
            <v>0.21149999999999999</v>
          </cell>
        </row>
        <row r="21">
          <cell r="B21">
            <v>300</v>
          </cell>
          <cell r="C21">
            <v>45.9</v>
          </cell>
          <cell r="D21">
            <v>30</v>
          </cell>
          <cell r="E21">
            <v>0.153</v>
          </cell>
        </row>
        <row r="22">
          <cell r="B22">
            <v>500</v>
          </cell>
          <cell r="C22">
            <v>76.09</v>
          </cell>
          <cell r="D22">
            <v>30</v>
          </cell>
          <cell r="E22">
            <v>0.15218000000000001</v>
          </cell>
        </row>
        <row r="23">
          <cell r="B23">
            <v>750</v>
          </cell>
          <cell r="C23">
            <v>105.69</v>
          </cell>
          <cell r="D23">
            <v>30</v>
          </cell>
          <cell r="E23">
            <v>0.14091999999999999</v>
          </cell>
        </row>
        <row r="24">
          <cell r="B24">
            <v>1000</v>
          </cell>
          <cell r="C24">
            <v>135.49</v>
          </cell>
          <cell r="D24">
            <v>30</v>
          </cell>
          <cell r="E24">
            <v>0.13549</v>
          </cell>
        </row>
        <row r="25">
          <cell r="B25">
            <v>1500</v>
          </cell>
          <cell r="C25">
            <v>170.03</v>
          </cell>
          <cell r="D25">
            <v>30</v>
          </cell>
          <cell r="E25">
            <v>0.11335333333333332</v>
          </cell>
        </row>
        <row r="27">
          <cell r="B27" t="str">
            <v>NACIONAL - EN CONTENEDOR * (1)</v>
          </cell>
        </row>
        <row r="28">
          <cell r="B28" t="str">
            <v>KILOMETROS</v>
          </cell>
          <cell r="C28" t="str">
            <v>VALOR  $ / CONT</v>
          </cell>
          <cell r="D28" t="str">
            <v>TONELAJE MAX.</v>
          </cell>
          <cell r="E28" t="str">
            <v>VALOR $ / TM.KM</v>
          </cell>
        </row>
        <row r="29">
          <cell r="B29">
            <v>20</v>
          </cell>
          <cell r="C29">
            <v>290</v>
          </cell>
          <cell r="D29">
            <v>30</v>
          </cell>
          <cell r="E29">
            <v>14.5</v>
          </cell>
        </row>
        <row r="30">
          <cell r="B30">
            <v>700</v>
          </cell>
          <cell r="C30">
            <v>1435</v>
          </cell>
          <cell r="D30">
            <v>30</v>
          </cell>
          <cell r="E30">
            <v>2.0499999999999998</v>
          </cell>
        </row>
        <row r="31">
          <cell r="B31" t="str">
            <v>* VARIACION QUINCENAL</v>
          </cell>
        </row>
        <row r="32">
          <cell r="B32" t="str">
            <v>(1) Para operaciones a realizarse con transporte multimodal debería aplicarse aproximadamente un 35% de descuento</v>
          </cell>
        </row>
        <row r="33">
          <cell r="B33" t="str">
            <v xml:space="preserve"> a estos valores. </v>
          </cell>
        </row>
        <row r="34">
          <cell r="B34" t="str">
            <v>CUADRO COMPARATIVO DIFERENTES RECORRIDOS (ACTUALIZACION - AGOSTO)</v>
          </cell>
        </row>
        <row r="36">
          <cell r="B36" t="str">
            <v xml:space="preserve">    INTERNACIONAL - A GRANEL</v>
          </cell>
        </row>
        <row r="37">
          <cell r="B37" t="str">
            <v>PRODUCTO</v>
          </cell>
          <cell r="C37" t="str">
            <v>TRAYECTO</v>
          </cell>
          <cell r="D37" t="str">
            <v>VALOR (U$S)</v>
          </cell>
          <cell r="E37" t="str">
            <v>TONELAJE</v>
          </cell>
        </row>
        <row r="38">
          <cell r="B38" t="str">
            <v>GRANEL BASE TRIGO</v>
          </cell>
          <cell r="C38" t="str">
            <v>BS.AS./STGO CHILE</v>
          </cell>
          <cell r="D38">
            <v>48</v>
          </cell>
          <cell r="E38" t="str">
            <v>(28 TM)</v>
          </cell>
        </row>
        <row r="39">
          <cell r="B39" t="str">
            <v>GRANEL BASE TRIGO</v>
          </cell>
          <cell r="C39" t="str">
            <v>BS.AS./S.PABLO</v>
          </cell>
          <cell r="D39">
            <v>62.5</v>
          </cell>
          <cell r="E39" t="str">
            <v>(28 TM)</v>
          </cell>
        </row>
        <row r="40">
          <cell r="B40" t="str">
            <v>GRANEL BASE TRIGO</v>
          </cell>
          <cell r="C40" t="str">
            <v>BS.AS./ASUNCION</v>
          </cell>
          <cell r="D40">
            <v>33.92</v>
          </cell>
          <cell r="E40" t="str">
            <v>(28 TM)</v>
          </cell>
        </row>
        <row r="41">
          <cell r="B41" t="str">
            <v>GRANEL BASE TRIGO</v>
          </cell>
          <cell r="C41" t="str">
            <v>BS.AS./MONTEVIDEO</v>
          </cell>
          <cell r="D41">
            <v>26</v>
          </cell>
          <cell r="E41" t="str">
            <v>(28 TM)</v>
          </cell>
        </row>
        <row r="42">
          <cell r="B42" t="str">
            <v xml:space="preserve">Cuadros elaborados por ARE - DMA - Base Granos Pesados </v>
          </cell>
        </row>
        <row r="43">
          <cell r="B43" t="str">
            <v>Fuente: C.A.T.A.C. - TRANSPORTISTAS PRIVADOS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CAMION"/>
      <sheetName val="Camión"/>
      <sheetName val="Base FF.CC."/>
      <sheetName val="Base FF.CC. (2)"/>
      <sheetName val="FF.CC."/>
      <sheetName val="Maritimo y Fluvial"/>
      <sheetName val="Hoja5"/>
      <sheetName val="Hoja1"/>
      <sheetName val="base marítimo"/>
      <sheetName val="Informe newsletter"/>
      <sheetName val="Informe Temático"/>
      <sheetName val="Inf. Mario"/>
      <sheetName val="Informe Temático (2)"/>
      <sheetName val="base temático"/>
    </sheetNames>
    <sheetDataSet>
      <sheetData sheetId="0"/>
      <sheetData sheetId="1"/>
      <sheetData sheetId="2"/>
      <sheetData sheetId="3"/>
      <sheetData sheetId="4"/>
      <sheetData sheetId="5">
        <row r="125">
          <cell r="B125" t="str">
            <v>MES</v>
          </cell>
          <cell r="H125" t="str">
            <v>AGOSTO 2004</v>
          </cell>
        </row>
        <row r="127">
          <cell r="H127" t="str">
            <v>SEMANA 26-08  AL  02-09</v>
          </cell>
        </row>
        <row r="129">
          <cell r="E129" t="str">
            <v>III - FLUVIAL</v>
          </cell>
        </row>
        <row r="131">
          <cell r="B131" t="str">
            <v>AREA REGIMENES ESPECIALES-DIRECCION DE MERCADOS AGROALIMENTARIOS</v>
          </cell>
        </row>
        <row r="132">
          <cell r="B132" t="str">
            <v>Responsable: Carlos M Ibañez</v>
          </cell>
        </row>
        <row r="133">
          <cell r="B133" t="str">
            <v>Colaboradores: J. Sosa - S. Rivera - S. Sobrón - R. Varela - N. Palmieri</v>
          </cell>
        </row>
        <row r="135">
          <cell r="B135" t="str">
            <v>FLUVIAL  (BARCAZAS)</v>
          </cell>
        </row>
        <row r="137">
          <cell r="B137" t="str">
            <v>PRECIOS ORIENTATIVOS A GRANEL (ACTUALIZACION MENSUAL -AGOSTO)</v>
          </cell>
        </row>
        <row r="139">
          <cell r="B139" t="str">
            <v>PRODUCTO</v>
          </cell>
          <cell r="C139" t="str">
            <v xml:space="preserve">ORIGEN </v>
          </cell>
          <cell r="D139" t="str">
            <v>DESTINO</v>
          </cell>
          <cell r="E139" t="str">
            <v>VALOR U$S/TM</v>
          </cell>
          <cell r="F139" t="str">
            <v>TONELAJE</v>
          </cell>
        </row>
        <row r="140">
          <cell r="B140" t="str">
            <v>GRANOS</v>
          </cell>
          <cell r="C140" t="str">
            <v>RECONQUISTA</v>
          </cell>
          <cell r="D140" t="str">
            <v>SAN LORENZO</v>
          </cell>
          <cell r="E140">
            <v>7.75</v>
          </cell>
          <cell r="F140">
            <v>8000</v>
          </cell>
        </row>
        <row r="141">
          <cell r="B141" t="str">
            <v>SOJA</v>
          </cell>
          <cell r="C141" t="str">
            <v>CORUMBA</v>
          </cell>
          <cell r="D141" t="str">
            <v>N. PALMIRA</v>
          </cell>
          <cell r="E141">
            <v>15.5</v>
          </cell>
          <cell r="F141">
            <v>8000</v>
          </cell>
        </row>
        <row r="142">
          <cell r="B142" t="str">
            <v>SOJA</v>
          </cell>
          <cell r="C142" t="str">
            <v>ASUNCION</v>
          </cell>
          <cell r="D142" t="str">
            <v>N. PALMIRA</v>
          </cell>
          <cell r="E142">
            <v>14</v>
          </cell>
          <cell r="F142">
            <v>8000</v>
          </cell>
        </row>
        <row r="144">
          <cell r="B144" t="str">
            <v>Cuadros elaborados por ARE - DMA</v>
          </cell>
        </row>
        <row r="145">
          <cell r="B145" t="str">
            <v>Fuente: AGENCIAS MARITIMAS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. CAMION"/>
      <sheetName val="Base FF.CC."/>
      <sheetName val="b. marít graficos"/>
      <sheetName val="Camión"/>
      <sheetName val="BD Maritimo"/>
      <sheetName val="IGC tabla"/>
      <sheetName val="BASE ffcc"/>
      <sheetName val="BASE TEMATICO 2º"/>
      <sheetName val="Inf Tematico Maritimo"/>
      <sheetName val="Inf. Temático FF.CC."/>
      <sheetName val="Inf Temático 1°Semest-09"/>
      <sheetName val="Inf Tematico 2°Semest"/>
      <sheetName val="Informe Temático (4)"/>
      <sheetName val="Inf. Mario"/>
      <sheetName val="Hoja1"/>
      <sheetName val="BASE CAMION"/>
      <sheetName val="B.MARITIMO"/>
      <sheetName val="b. contenedores"/>
      <sheetName val="kilometros contenedor"/>
      <sheetName val="B.AEREO"/>
      <sheetName val="B.BARCAZAS"/>
      <sheetName val="Informe Temátic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G1" t="str">
            <v>Argentina                      Up River</v>
          </cell>
          <cell r="I1" t="str">
            <v>Australia Kwinana</v>
          </cell>
          <cell r="K1" t="str">
            <v>Brazil                  Santos</v>
          </cell>
          <cell r="M1" t="str">
            <v>Canada                St Lawrence</v>
          </cell>
          <cell r="O1" t="str">
            <v>EU                Constanta</v>
          </cell>
          <cell r="Q1" t="str">
            <v>EU Hamburg</v>
          </cell>
          <cell r="S1" t="str">
            <v>EU Rouen</v>
          </cell>
          <cell r="U1" t="str">
            <v>Russia Novorossiysk</v>
          </cell>
          <cell r="W1" t="str">
            <v>UK                     Tilbury</v>
          </cell>
          <cell r="Y1" t="str">
            <v>USA               Gulf</v>
          </cell>
          <cell r="AA1" t="str">
            <v>USA                 PNW</v>
          </cell>
          <cell r="AC1" t="str">
            <v>Ukraine                  Yuzhny</v>
          </cell>
        </row>
        <row r="3">
          <cell r="A3" t="str">
            <v>CartagenaMAIZE</v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>
            <v>13.4</v>
          </cell>
          <cell r="T3">
            <v>-2.5</v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</row>
        <row r="4">
          <cell r="A4" t="str">
            <v>GdyniaMAIZE</v>
          </cell>
          <cell r="G4">
            <v>39.5</v>
          </cell>
          <cell r="H4">
            <v>-2.1000000000000014</v>
          </cell>
          <cell r="I4" t="str">
            <v/>
          </cell>
          <cell r="J4" t="str">
            <v/>
          </cell>
          <cell r="K4">
            <v>29.2</v>
          </cell>
          <cell r="L4">
            <v>-1.9000000000000021</v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>
            <v>28.2</v>
          </cell>
          <cell r="Z4">
            <v>-2.1999999999999993</v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</row>
        <row r="5">
          <cell r="A5" t="str">
            <v>GenoaMAIZE</v>
          </cell>
          <cell r="G5">
            <v>36.299999999999997</v>
          </cell>
          <cell r="H5">
            <v>-2</v>
          </cell>
          <cell r="I5" t="str">
            <v/>
          </cell>
          <cell r="J5" t="str">
            <v/>
          </cell>
          <cell r="K5">
            <v>26.7</v>
          </cell>
          <cell r="L5">
            <v>-1.8000000000000007</v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>
            <v>28.7</v>
          </cell>
          <cell r="Z5">
            <v>-2.1999999999999993</v>
          </cell>
          <cell r="AA5" t="str">
            <v/>
          </cell>
          <cell r="AB5" t="str">
            <v/>
          </cell>
          <cell r="AC5">
            <v>18.5</v>
          </cell>
          <cell r="AD5">
            <v>-1.6999999999999993</v>
          </cell>
        </row>
        <row r="6">
          <cell r="A6" t="str">
            <v>RotterdamMAIZE</v>
          </cell>
          <cell r="G6">
            <v>31.1</v>
          </cell>
          <cell r="H6">
            <v>-5.5</v>
          </cell>
          <cell r="I6" t="str">
            <v/>
          </cell>
          <cell r="J6" t="str">
            <v/>
          </cell>
          <cell r="K6">
            <v>24.9</v>
          </cell>
          <cell r="L6">
            <v>-5</v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>
            <v>25.4</v>
          </cell>
          <cell r="Z6">
            <v>-4.4000000000000021</v>
          </cell>
          <cell r="AA6" t="str">
            <v/>
          </cell>
          <cell r="AB6" t="str">
            <v/>
          </cell>
          <cell r="AC6">
            <v>18.3</v>
          </cell>
          <cell r="AD6">
            <v>-3.6999999999999993</v>
          </cell>
        </row>
        <row r="7">
          <cell r="A7" t="str">
            <v>LiverpoolMAIZE</v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>
            <v>18.899999999999999</v>
          </cell>
          <cell r="P7">
            <v>-3.5</v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>
            <v>22.2</v>
          </cell>
          <cell r="Z7">
            <v>-3.5</v>
          </cell>
          <cell r="AA7" t="str">
            <v/>
          </cell>
          <cell r="AB7" t="str">
            <v/>
          </cell>
          <cell r="AC7">
            <v>20.2</v>
          </cell>
          <cell r="AD7">
            <v>-3.6999999999999993</v>
          </cell>
        </row>
        <row r="8">
          <cell r="A8" t="str">
            <v>CartagenaHSS</v>
          </cell>
          <cell r="G8">
            <v>28.4</v>
          </cell>
          <cell r="H8">
            <v>-5.1000000000000014</v>
          </cell>
          <cell r="I8" t="str">
            <v/>
          </cell>
          <cell r="J8" t="str">
            <v/>
          </cell>
          <cell r="K8">
            <v>22.7</v>
          </cell>
          <cell r="L8">
            <v>-4.4000000000000021</v>
          </cell>
          <cell r="M8">
            <v>18.5</v>
          </cell>
          <cell r="N8">
            <v>-3.6999999999999993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>
            <v>12.9</v>
          </cell>
          <cell r="T8">
            <v>-2.4000000000000004</v>
          </cell>
          <cell r="U8">
            <v>16.100000000000001</v>
          </cell>
          <cell r="V8">
            <v>-3.2999999999999972</v>
          </cell>
          <cell r="W8">
            <v>14.2</v>
          </cell>
          <cell r="X8">
            <v>-2.4000000000000021</v>
          </cell>
          <cell r="Y8">
            <v>25.3</v>
          </cell>
          <cell r="Z8">
            <v>-4.3999999999999986</v>
          </cell>
          <cell r="AA8" t="str">
            <v/>
          </cell>
          <cell r="AB8" t="str">
            <v/>
          </cell>
          <cell r="AC8">
            <v>16.5</v>
          </cell>
          <cell r="AD8">
            <v>-3.1999999999999993</v>
          </cell>
        </row>
        <row r="9">
          <cell r="A9" t="str">
            <v>GdyniaHSS</v>
          </cell>
          <cell r="G9">
            <v>37.5</v>
          </cell>
          <cell r="H9">
            <v>-2.1000000000000014</v>
          </cell>
          <cell r="I9" t="str">
            <v/>
          </cell>
          <cell r="J9" t="str">
            <v/>
          </cell>
          <cell r="K9">
            <v>27.9</v>
          </cell>
          <cell r="L9">
            <v>-1.8000000000000007</v>
          </cell>
          <cell r="M9">
            <v>25.2</v>
          </cell>
          <cell r="N9">
            <v>-2.3000000000000007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>
            <v>15.9</v>
          </cell>
          <cell r="T9">
            <v>-1.0999999999999996</v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>
            <v>26.9</v>
          </cell>
          <cell r="Z9">
            <v>-2.1000000000000014</v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</row>
        <row r="10">
          <cell r="A10" t="str">
            <v>GenoaHSS</v>
          </cell>
          <cell r="G10">
            <v>34.6</v>
          </cell>
          <cell r="H10">
            <v>-1.7999999999999972</v>
          </cell>
          <cell r="I10" t="str">
            <v/>
          </cell>
          <cell r="J10" t="str">
            <v/>
          </cell>
          <cell r="K10">
            <v>25.5</v>
          </cell>
          <cell r="L10">
            <v>-1.6999999999999993</v>
          </cell>
          <cell r="M10">
            <v>26.1</v>
          </cell>
          <cell r="N10">
            <v>-2.3999999999999986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>
            <v>17.600000000000001</v>
          </cell>
          <cell r="V10">
            <v>-1.6999999999999993</v>
          </cell>
          <cell r="W10" t="str">
            <v/>
          </cell>
          <cell r="X10" t="str">
            <v/>
          </cell>
          <cell r="Y10">
            <v>27.3</v>
          </cell>
          <cell r="Z10">
            <v>-2.1999999999999993</v>
          </cell>
          <cell r="AA10" t="str">
            <v/>
          </cell>
          <cell r="AB10" t="str">
            <v/>
          </cell>
          <cell r="AC10">
            <v>17.7</v>
          </cell>
          <cell r="AD10">
            <v>-1.6999999999999993</v>
          </cell>
        </row>
        <row r="11">
          <cell r="A11" t="str">
            <v>RotterdamHSS</v>
          </cell>
          <cell r="G11">
            <v>29.4</v>
          </cell>
          <cell r="H11">
            <v>-5.3999999999999986</v>
          </cell>
          <cell r="I11">
            <v>35.299999999999997</v>
          </cell>
          <cell r="J11">
            <v>-4</v>
          </cell>
          <cell r="K11">
            <v>23.7</v>
          </cell>
          <cell r="L11">
            <v>-4.6999999999999993</v>
          </cell>
          <cell r="M11">
            <v>16.899999999999999</v>
          </cell>
          <cell r="N11">
            <v>-3.4000000000000021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>
            <v>10.8</v>
          </cell>
          <cell r="X11">
            <v>-1.7999999999999989</v>
          </cell>
          <cell r="Y11">
            <v>24.1</v>
          </cell>
          <cell r="Z11">
            <v>-4.1999999999999993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</row>
        <row r="12">
          <cell r="A12" t="str">
            <v>BaltiyskHSS</v>
          </cell>
          <cell r="G12">
            <v>37</v>
          </cell>
          <cell r="H12">
            <v>-2.1000000000000014</v>
          </cell>
          <cell r="I12" t="str">
            <v/>
          </cell>
          <cell r="J12" t="str">
            <v/>
          </cell>
          <cell r="K12">
            <v>28</v>
          </cell>
          <cell r="L12">
            <v>-1.8999999999999986</v>
          </cell>
          <cell r="M12">
            <v>24.7</v>
          </cell>
          <cell r="N12">
            <v>-2.3000000000000007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>
            <v>15.4</v>
          </cell>
          <cell r="T12">
            <v>-1.2000000000000011</v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>
            <v>26.4</v>
          </cell>
          <cell r="Z12">
            <v>-2.1000000000000014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</row>
        <row r="13">
          <cell r="A13" t="str">
            <v>LiverpoolHSS</v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>
            <v>18</v>
          </cell>
          <cell r="P13">
            <v>-3.3999999999999986</v>
          </cell>
          <cell r="Q13">
            <v>11.4</v>
          </cell>
          <cell r="R13">
            <v>-2</v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>
            <v>21.1</v>
          </cell>
          <cell r="Z13">
            <v>-3.2999999999999972</v>
          </cell>
          <cell r="AA13" t="str">
            <v/>
          </cell>
          <cell r="AB13" t="str">
            <v/>
          </cell>
          <cell r="AC13">
            <v>19.3</v>
          </cell>
          <cell r="AD13">
            <v>-3.5</v>
          </cell>
        </row>
        <row r="14">
          <cell r="A14" t="str">
            <v>CartagenaBARLEY</v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>
            <v>17.899999999999999</v>
          </cell>
          <cell r="X14">
            <v>-1.2000000000000028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</row>
        <row r="15">
          <cell r="A15" t="str">
            <v>RotterdamBARLEY</v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>
            <v>14</v>
          </cell>
          <cell r="X15">
            <v>-0.90000000000000036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</row>
        <row r="16">
          <cell r="A16" t="str">
            <v>LiverpoolBARLEY</v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22</v>
          </cell>
          <cell r="AD16">
            <v>-3.8000000000000007</v>
          </cell>
        </row>
        <row r="17">
          <cell r="A17" t="str">
            <v>Bandar AbbasMAIZE</v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35</v>
          </cell>
          <cell r="AD17">
            <v>-4.1000000000000014</v>
          </cell>
        </row>
        <row r="18">
          <cell r="A18" t="str">
            <v>Port Sultan QaboosMAIZE</v>
          </cell>
          <cell r="G18">
            <v>49.8</v>
          </cell>
          <cell r="H18">
            <v>-3</v>
          </cell>
          <cell r="I18" t="str">
            <v/>
          </cell>
          <cell r="J18" t="str">
            <v/>
          </cell>
          <cell r="K18">
            <v>41.6</v>
          </cell>
          <cell r="L18">
            <v>-2.8999999999999986</v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>
            <v>61.3</v>
          </cell>
          <cell r="Z18">
            <v>-4.7999999999999972</v>
          </cell>
          <cell r="AA18">
            <v>76</v>
          </cell>
          <cell r="AB18">
            <v>-2.5999999999999943</v>
          </cell>
          <cell r="AC18">
            <v>45.2</v>
          </cell>
          <cell r="AD18">
            <v>-3.7999999999999972</v>
          </cell>
        </row>
        <row r="19">
          <cell r="A19" t="str">
            <v>SalalahMAIZE</v>
          </cell>
          <cell r="G19">
            <v>48</v>
          </cell>
          <cell r="H19">
            <v>-2.7999999999999972</v>
          </cell>
          <cell r="I19" t="str">
            <v/>
          </cell>
          <cell r="J19" t="str">
            <v/>
          </cell>
          <cell r="K19">
            <v>39.799999999999997</v>
          </cell>
          <cell r="L19">
            <v>-2.8000000000000043</v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>
            <v>59</v>
          </cell>
          <cell r="Z19">
            <v>-4.5</v>
          </cell>
          <cell r="AA19">
            <v>76.3</v>
          </cell>
          <cell r="AB19">
            <v>-2.5</v>
          </cell>
          <cell r="AC19">
            <v>42.9</v>
          </cell>
          <cell r="AD19">
            <v>-3.6000000000000014</v>
          </cell>
        </row>
        <row r="20">
          <cell r="A20" t="str">
            <v>JeddahMAIZE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>
            <v>49.4</v>
          </cell>
          <cell r="Z20">
            <v>-5.5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</row>
        <row r="21">
          <cell r="A21" t="str">
            <v>CanakkaleMAIZE</v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18.3</v>
          </cell>
          <cell r="AD21">
            <v>-1</v>
          </cell>
        </row>
        <row r="22">
          <cell r="A22" t="str">
            <v>Bandar AbbasHSS</v>
          </cell>
          <cell r="G22" t="str">
            <v/>
          </cell>
          <cell r="H22" t="str">
            <v/>
          </cell>
          <cell r="I22">
            <v>26.3</v>
          </cell>
          <cell r="J22">
            <v>-3.1999999999999993</v>
          </cell>
          <cell r="K22" t="str">
            <v/>
          </cell>
          <cell r="L22" t="str">
            <v/>
          </cell>
          <cell r="M22">
            <v>43.3</v>
          </cell>
          <cell r="N22">
            <v>-5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>
            <v>33.4</v>
          </cell>
          <cell r="T22">
            <v>-3.8000000000000043</v>
          </cell>
          <cell r="U22">
            <v>34.5</v>
          </cell>
          <cell r="V22">
            <v>-4.1000000000000014</v>
          </cell>
          <cell r="W22" t="str">
            <v/>
          </cell>
          <cell r="X22" t="str">
            <v/>
          </cell>
          <cell r="Y22">
            <v>51.1</v>
          </cell>
          <cell r="Z22">
            <v>-5.6000000000000014</v>
          </cell>
          <cell r="AA22" t="str">
            <v/>
          </cell>
          <cell r="AB22" t="str">
            <v/>
          </cell>
          <cell r="AC22">
            <v>33.5</v>
          </cell>
          <cell r="AD22">
            <v>-4</v>
          </cell>
        </row>
        <row r="23">
          <cell r="A23" t="str">
            <v>BasrahHSS</v>
          </cell>
          <cell r="G23" t="str">
            <v/>
          </cell>
          <cell r="H23" t="str">
            <v/>
          </cell>
          <cell r="I23">
            <v>41.5</v>
          </cell>
          <cell r="J23">
            <v>1</v>
          </cell>
          <cell r="K23" t="str">
            <v/>
          </cell>
          <cell r="L23" t="str">
            <v/>
          </cell>
          <cell r="M23">
            <v>42.2</v>
          </cell>
          <cell r="N23">
            <v>-3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>
            <v>53.9</v>
          </cell>
          <cell r="Z23">
            <v>-3.2000000000000028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</row>
        <row r="24">
          <cell r="A24" t="str">
            <v>Port Sultan QaboosHSS</v>
          </cell>
          <cell r="G24">
            <v>49.2</v>
          </cell>
          <cell r="H24">
            <v>-1.8999999999999986</v>
          </cell>
          <cell r="I24">
            <v>33.200000000000003</v>
          </cell>
          <cell r="J24">
            <v>0.70000000000000284</v>
          </cell>
          <cell r="K24">
            <v>42.1</v>
          </cell>
          <cell r="L24">
            <v>-1.7999999999999972</v>
          </cell>
          <cell r="M24">
            <v>37.9</v>
          </cell>
          <cell r="N24">
            <v>-2.3000000000000043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>
            <v>43.9</v>
          </cell>
          <cell r="T24">
            <v>-1.7000000000000028</v>
          </cell>
          <cell r="U24">
            <v>38.299999999999997</v>
          </cell>
          <cell r="V24">
            <v>-1.3000000000000043</v>
          </cell>
          <cell r="W24" t="str">
            <v/>
          </cell>
          <cell r="X24" t="str">
            <v/>
          </cell>
          <cell r="Y24">
            <v>45</v>
          </cell>
          <cell r="Z24">
            <v>-2.5</v>
          </cell>
          <cell r="AA24">
            <v>51.7</v>
          </cell>
          <cell r="AB24">
            <v>1.1000000000000014</v>
          </cell>
          <cell r="AC24">
            <v>38.1</v>
          </cell>
          <cell r="AD24">
            <v>-1.3999999999999986</v>
          </cell>
        </row>
        <row r="25">
          <cell r="A25" t="str">
            <v>SalalahHSS</v>
          </cell>
          <cell r="G25">
            <v>48</v>
          </cell>
          <cell r="H25">
            <v>-1.8999999999999986</v>
          </cell>
          <cell r="I25">
            <v>33</v>
          </cell>
          <cell r="J25">
            <v>0.70000000000000284</v>
          </cell>
          <cell r="K25">
            <v>40.9</v>
          </cell>
          <cell r="L25">
            <v>-1.7000000000000028</v>
          </cell>
          <cell r="M25">
            <v>36.299999999999997</v>
          </cell>
          <cell r="N25">
            <v>-2.2000000000000028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>
            <v>42.4</v>
          </cell>
          <cell r="T25">
            <v>-1.6000000000000014</v>
          </cell>
          <cell r="U25">
            <v>36.6</v>
          </cell>
          <cell r="V25">
            <v>-1.1999999999999957</v>
          </cell>
          <cell r="W25" t="str">
            <v/>
          </cell>
          <cell r="X25" t="str">
            <v/>
          </cell>
          <cell r="Y25">
            <v>43.4</v>
          </cell>
          <cell r="Z25">
            <v>-2.5</v>
          </cell>
          <cell r="AA25">
            <v>51.9</v>
          </cell>
          <cell r="AB25">
            <v>1.1000000000000014</v>
          </cell>
          <cell r="AC25">
            <v>36.5</v>
          </cell>
          <cell r="AD25">
            <v>-1.2999999999999972</v>
          </cell>
        </row>
        <row r="26">
          <cell r="A26" t="str">
            <v>CanakkaleHSS</v>
          </cell>
          <cell r="G26">
            <v>35.299999999999997</v>
          </cell>
          <cell r="H26">
            <v>-3.3000000000000043</v>
          </cell>
          <cell r="I26" t="str">
            <v/>
          </cell>
          <cell r="J26" t="str">
            <v/>
          </cell>
          <cell r="K26">
            <v>28.1</v>
          </cell>
          <cell r="L26">
            <v>-2.8999999999999986</v>
          </cell>
          <cell r="M26">
            <v>26</v>
          </cell>
          <cell r="N26">
            <v>-1.3000000000000007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>
            <v>18.3</v>
          </cell>
          <cell r="T26">
            <v>-1.3000000000000007</v>
          </cell>
          <cell r="U26">
            <v>17.5</v>
          </cell>
          <cell r="V26">
            <v>-1</v>
          </cell>
          <cell r="W26" t="str">
            <v/>
          </cell>
          <cell r="X26" t="str">
            <v/>
          </cell>
          <cell r="Y26">
            <v>35.4</v>
          </cell>
          <cell r="Z26">
            <v>-1.5</v>
          </cell>
          <cell r="AA26" t="str">
            <v/>
          </cell>
          <cell r="AB26" t="str">
            <v/>
          </cell>
          <cell r="AC26">
            <v>17.7</v>
          </cell>
          <cell r="AD26">
            <v>-1</v>
          </cell>
        </row>
        <row r="27">
          <cell r="A27" t="str">
            <v>SaleefHSS</v>
          </cell>
          <cell r="G27" t="str">
            <v/>
          </cell>
          <cell r="H27" t="str">
            <v/>
          </cell>
          <cell r="I27">
            <v>49.2</v>
          </cell>
          <cell r="J27">
            <v>1.2000000000000028</v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>
            <v>55.1</v>
          </cell>
          <cell r="T27">
            <v>-2.5</v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>
            <v>56.3</v>
          </cell>
          <cell r="Z27">
            <v>-3.7000000000000028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</row>
        <row r="28">
          <cell r="A28" t="str">
            <v>AqabaBARLEY</v>
          </cell>
          <cell r="G28" t="str">
            <v/>
          </cell>
          <cell r="H28" t="str">
            <v/>
          </cell>
          <cell r="I28">
            <v>32.4</v>
          </cell>
          <cell r="J28">
            <v>-4</v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>
            <v>31.6</v>
          </cell>
          <cell r="T28">
            <v>-3.6000000000000014</v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>
            <v>47</v>
          </cell>
          <cell r="AB28">
            <v>-5.2999999999999972</v>
          </cell>
          <cell r="AC28" t="str">
            <v/>
          </cell>
          <cell r="AD28" t="str">
            <v/>
          </cell>
        </row>
        <row r="29">
          <cell r="A29" t="str">
            <v>Port Sultan QaboosBARLEY</v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>
            <v>52.6</v>
          </cell>
          <cell r="T29">
            <v>-3.7999999999999972</v>
          </cell>
          <cell r="U29">
            <v>49.9</v>
          </cell>
          <cell r="V29">
            <v>-4</v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>
            <v>83.9</v>
          </cell>
          <cell r="AB29">
            <v>-2.7999999999999972</v>
          </cell>
          <cell r="AC29" t="str">
            <v/>
          </cell>
          <cell r="AD29" t="str">
            <v/>
          </cell>
        </row>
        <row r="30">
          <cell r="A30" t="str">
            <v>SalalahBARLEY</v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>
            <v>50</v>
          </cell>
          <cell r="T30">
            <v>-3.6000000000000014</v>
          </cell>
          <cell r="U30">
            <v>47.2</v>
          </cell>
          <cell r="V30">
            <v>-3.7999999999999972</v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>
            <v>84.2</v>
          </cell>
          <cell r="AB30">
            <v>-2.7999999999999972</v>
          </cell>
          <cell r="AC30" t="str">
            <v/>
          </cell>
          <cell r="AD30" t="str">
            <v/>
          </cell>
        </row>
        <row r="31">
          <cell r="A31" t="str">
            <v>JeddahBARLEY</v>
          </cell>
          <cell r="G31" t="str">
            <v/>
          </cell>
          <cell r="H31" t="str">
            <v/>
          </cell>
          <cell r="I31">
            <v>31.6</v>
          </cell>
          <cell r="J31">
            <v>-3.8999999999999986</v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>
            <v>32.6</v>
          </cell>
          <cell r="T31">
            <v>-3.6999999999999957</v>
          </cell>
          <cell r="U31">
            <v>32.4</v>
          </cell>
          <cell r="V31">
            <v>-3.8999999999999986</v>
          </cell>
          <cell r="W31">
            <v>34.1</v>
          </cell>
          <cell r="X31">
            <v>-3.6999999999999957</v>
          </cell>
          <cell r="Y31" t="str">
            <v/>
          </cell>
          <cell r="Z31" t="str">
            <v/>
          </cell>
          <cell r="AA31">
            <v>48</v>
          </cell>
          <cell r="AB31">
            <v>-5.2999999999999972</v>
          </cell>
          <cell r="AC31">
            <v>32.6</v>
          </cell>
          <cell r="AD31">
            <v>-3.8999999999999986</v>
          </cell>
        </row>
        <row r="32">
          <cell r="A32" t="str">
            <v>BejaiaMAIZE</v>
          </cell>
          <cell r="G32">
            <v>38.9</v>
          </cell>
          <cell r="H32">
            <v>-2.3000000000000043</v>
          </cell>
          <cell r="I32" t="str">
            <v/>
          </cell>
          <cell r="J32" t="str">
            <v/>
          </cell>
          <cell r="K32">
            <v>29.3</v>
          </cell>
          <cell r="L32">
            <v>-2.0999999999999979</v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>
            <v>43.1</v>
          </cell>
          <cell r="Z32">
            <v>-3.7999999999999972</v>
          </cell>
          <cell r="AA32" t="str">
            <v/>
          </cell>
          <cell r="AB32" t="str">
            <v/>
          </cell>
          <cell r="AC32">
            <v>21.2</v>
          </cell>
          <cell r="AD32">
            <v>-2.1999999999999993</v>
          </cell>
        </row>
        <row r="33">
          <cell r="A33" t="str">
            <v>AlexandriaMAIZE</v>
          </cell>
          <cell r="G33">
            <v>37.200000000000003</v>
          </cell>
          <cell r="H33">
            <v>-3.3999999999999986</v>
          </cell>
          <cell r="I33" t="str">
            <v/>
          </cell>
          <cell r="J33" t="str">
            <v/>
          </cell>
          <cell r="K33">
            <v>31.8</v>
          </cell>
          <cell r="L33">
            <v>-3.3000000000000007</v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>
            <v>26.6</v>
          </cell>
          <cell r="Z33">
            <v>-1.5999999999999979</v>
          </cell>
          <cell r="AA33" t="str">
            <v/>
          </cell>
          <cell r="AB33" t="str">
            <v/>
          </cell>
          <cell r="AC33">
            <v>19.3</v>
          </cell>
          <cell r="AD33">
            <v>-1.0999999999999979</v>
          </cell>
        </row>
        <row r="34">
          <cell r="A34" t="str">
            <v>CasablancaMAIZE</v>
          </cell>
          <cell r="G34">
            <v>35.6</v>
          </cell>
          <cell r="H34">
            <v>-2</v>
          </cell>
          <cell r="I34" t="str">
            <v/>
          </cell>
          <cell r="J34" t="str">
            <v/>
          </cell>
          <cell r="K34">
            <v>26</v>
          </cell>
          <cell r="L34">
            <v>-1.8000000000000007</v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</row>
        <row r="35">
          <cell r="A35" t="str">
            <v>BizerteMAIZE</v>
          </cell>
          <cell r="G35">
            <v>38.9</v>
          </cell>
          <cell r="H35">
            <v>-2.3000000000000043</v>
          </cell>
          <cell r="I35" t="str">
            <v/>
          </cell>
          <cell r="J35" t="str">
            <v/>
          </cell>
          <cell r="K35">
            <v>29.3</v>
          </cell>
          <cell r="L35">
            <v>-2.0999999999999979</v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19.8</v>
          </cell>
          <cell r="AD35">
            <v>-2.0999999999999979</v>
          </cell>
        </row>
        <row r="36">
          <cell r="A36" t="str">
            <v>BejaiaHSS</v>
          </cell>
          <cell r="G36">
            <v>37.200000000000003</v>
          </cell>
          <cell r="H36">
            <v>-2.1999999999999957</v>
          </cell>
          <cell r="I36">
            <v>66.5</v>
          </cell>
          <cell r="J36">
            <v>-2.7999999999999972</v>
          </cell>
          <cell r="K36">
            <v>28.2</v>
          </cell>
          <cell r="L36">
            <v>-2</v>
          </cell>
          <cell r="M36">
            <v>28.9</v>
          </cell>
          <cell r="N36">
            <v>-2.9000000000000021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>
            <v>20.5</v>
          </cell>
          <cell r="T36">
            <v>-1.8999999999999986</v>
          </cell>
          <cell r="U36" t="str">
            <v/>
          </cell>
          <cell r="V36" t="str">
            <v/>
          </cell>
          <cell r="W36">
            <v>20.100000000000001</v>
          </cell>
          <cell r="X36">
            <v>-2</v>
          </cell>
          <cell r="Y36">
            <v>41.1</v>
          </cell>
          <cell r="Z36">
            <v>-3.6000000000000014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</row>
        <row r="37">
          <cell r="A37" t="str">
            <v>AlexandriaHSS</v>
          </cell>
          <cell r="G37">
            <v>35.299999999999997</v>
          </cell>
          <cell r="H37">
            <v>-3.3000000000000043</v>
          </cell>
          <cell r="I37">
            <v>36.6</v>
          </cell>
          <cell r="J37" t="str">
            <v/>
          </cell>
          <cell r="K37">
            <v>30.2</v>
          </cell>
          <cell r="L37">
            <v>-3.1999999999999993</v>
          </cell>
          <cell r="M37">
            <v>19</v>
          </cell>
          <cell r="N37">
            <v>-1.3999999999999986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>
            <v>18.3</v>
          </cell>
          <cell r="T37">
            <v>-1.3000000000000007</v>
          </cell>
          <cell r="U37">
            <v>18.5</v>
          </cell>
          <cell r="V37">
            <v>-1</v>
          </cell>
          <cell r="W37" t="str">
            <v/>
          </cell>
          <cell r="X37" t="str">
            <v/>
          </cell>
          <cell r="Y37">
            <v>25.4</v>
          </cell>
          <cell r="Z37">
            <v>-1.5</v>
          </cell>
          <cell r="AA37">
            <v>48.3</v>
          </cell>
          <cell r="AB37" t="str">
            <v/>
          </cell>
          <cell r="AC37">
            <v>18.600000000000001</v>
          </cell>
          <cell r="AD37">
            <v>-1.0999999999999979</v>
          </cell>
        </row>
        <row r="38">
          <cell r="A38" t="str">
            <v>TripoliHSS</v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>
            <v>20.5</v>
          </cell>
          <cell r="T38">
            <v>-1.8000000000000007</v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</row>
        <row r="39">
          <cell r="A39" t="str">
            <v>CasablancaHSS</v>
          </cell>
          <cell r="G39">
            <v>34</v>
          </cell>
          <cell r="H39">
            <v>-2</v>
          </cell>
          <cell r="I39" t="str">
            <v/>
          </cell>
          <cell r="J39" t="str">
            <v/>
          </cell>
          <cell r="K39">
            <v>25</v>
          </cell>
          <cell r="L39">
            <v>-1.6999999999999993</v>
          </cell>
          <cell r="M39">
            <v>26.7</v>
          </cell>
          <cell r="N39">
            <v>-2.6000000000000014</v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>
            <v>18.399999999999999</v>
          </cell>
          <cell r="T39">
            <v>-1.6000000000000014</v>
          </cell>
          <cell r="U39">
            <v>21.3</v>
          </cell>
          <cell r="V39">
            <v>-2.1999999999999993</v>
          </cell>
          <cell r="W39" t="str">
            <v/>
          </cell>
          <cell r="X39" t="str">
            <v/>
          </cell>
          <cell r="Y39">
            <v>38.700000000000003</v>
          </cell>
          <cell r="Z39">
            <v>-3.2999999999999972</v>
          </cell>
          <cell r="AA39" t="str">
            <v/>
          </cell>
          <cell r="AB39" t="str">
            <v/>
          </cell>
          <cell r="AC39">
            <v>21.4</v>
          </cell>
          <cell r="AD39">
            <v>-2.2000000000000028</v>
          </cell>
        </row>
        <row r="40">
          <cell r="A40" t="str">
            <v>BizerteHSS</v>
          </cell>
          <cell r="G40">
            <v>37.200000000000003</v>
          </cell>
          <cell r="H40">
            <v>-2.2999999999999972</v>
          </cell>
          <cell r="I40" t="str">
            <v/>
          </cell>
          <cell r="J40" t="str">
            <v/>
          </cell>
          <cell r="K40">
            <v>28.2</v>
          </cell>
          <cell r="L40">
            <v>-2</v>
          </cell>
          <cell r="M40">
            <v>28.8</v>
          </cell>
          <cell r="N40">
            <v>-2.8999999999999986</v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>
            <v>20.399999999999999</v>
          </cell>
          <cell r="T40">
            <v>-1.9000000000000021</v>
          </cell>
          <cell r="U40">
            <v>19</v>
          </cell>
          <cell r="V40">
            <v>-2.1000000000000014</v>
          </cell>
          <cell r="W40" t="str">
            <v/>
          </cell>
          <cell r="X40" t="str">
            <v/>
          </cell>
          <cell r="Y40">
            <v>41</v>
          </cell>
          <cell r="Z40">
            <v>-3.6000000000000014</v>
          </cell>
          <cell r="AA40" t="str">
            <v/>
          </cell>
          <cell r="AB40" t="str">
            <v/>
          </cell>
          <cell r="AC40">
            <v>19.100000000000001</v>
          </cell>
          <cell r="AD40">
            <v>-2.0999999999999979</v>
          </cell>
        </row>
        <row r="41">
          <cell r="A41" t="str">
            <v>BejaiaBARLEY</v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>
            <v>22.5</v>
          </cell>
          <cell r="X41">
            <v>-2.1000000000000014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</row>
        <row r="42">
          <cell r="A42" t="str">
            <v>TripoliBARLEY</v>
          </cell>
          <cell r="G42" t="str">
            <v/>
          </cell>
          <cell r="H42" t="str">
            <v/>
          </cell>
          <cell r="I42">
            <v>72</v>
          </cell>
          <cell r="J42">
            <v>-3</v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>
            <v>23.1</v>
          </cell>
          <cell r="T42">
            <v>-1.8999999999999986</v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</row>
        <row r="43">
          <cell r="A43" t="str">
            <v>VeracruzMAIZE</v>
          </cell>
          <cell r="G43">
            <v>39.6</v>
          </cell>
          <cell r="H43">
            <v>-2.2999999999999972</v>
          </cell>
          <cell r="I43" t="str">
            <v/>
          </cell>
          <cell r="J43" t="str">
            <v/>
          </cell>
          <cell r="K43">
            <v>30</v>
          </cell>
          <cell r="L43">
            <v>-2</v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>
            <v>17.600000000000001</v>
          </cell>
          <cell r="Z43">
            <v>-1.5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</row>
        <row r="44">
          <cell r="A44" t="str">
            <v>VeracruzHSS</v>
          </cell>
          <cell r="G44">
            <v>37.799999999999997</v>
          </cell>
          <cell r="H44">
            <v>-2.2000000000000028</v>
          </cell>
          <cell r="I44" t="str">
            <v/>
          </cell>
          <cell r="J44" t="str">
            <v/>
          </cell>
          <cell r="K44">
            <v>28.7</v>
          </cell>
          <cell r="L44">
            <v>-2</v>
          </cell>
          <cell r="M44">
            <v>18.8</v>
          </cell>
          <cell r="N44">
            <v>-2</v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>
            <v>17</v>
          </cell>
          <cell r="Z44">
            <v>-1.5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</row>
        <row r="45">
          <cell r="A45" t="str">
            <v>DalianMAIZE</v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>
            <v>50.1</v>
          </cell>
          <cell r="L45">
            <v>-6.1000000000000014</v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>
            <v>55.2</v>
          </cell>
          <cell r="Z45">
            <v>-5.8999999999999986</v>
          </cell>
          <cell r="AA45">
            <v>31.1</v>
          </cell>
          <cell r="AB45">
            <v>-3.3999999999999986</v>
          </cell>
          <cell r="AC45">
            <v>44</v>
          </cell>
          <cell r="AD45">
            <v>-5.2999999999999972</v>
          </cell>
        </row>
        <row r="46">
          <cell r="A46" t="str">
            <v>KaohsiungMAIZE</v>
          </cell>
          <cell r="G46">
            <v>54.6</v>
          </cell>
          <cell r="H46">
            <v>-6.6000000000000014</v>
          </cell>
          <cell r="I46" t="str">
            <v/>
          </cell>
          <cell r="J46" t="str">
            <v/>
          </cell>
          <cell r="K46">
            <v>48.2</v>
          </cell>
          <cell r="L46">
            <v>-6.1999999999999957</v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>
            <v>56.4</v>
          </cell>
          <cell r="Z46">
            <v>-6.2000000000000028</v>
          </cell>
          <cell r="AA46">
            <v>32.1</v>
          </cell>
          <cell r="AB46">
            <v>-3.6999999999999957</v>
          </cell>
          <cell r="AC46" t="str">
            <v/>
          </cell>
          <cell r="AD46" t="str">
            <v/>
          </cell>
        </row>
        <row r="47">
          <cell r="A47" t="str">
            <v>JakartaMAIZE</v>
          </cell>
          <cell r="G47">
            <v>53.1</v>
          </cell>
          <cell r="H47">
            <v>-2</v>
          </cell>
          <cell r="I47" t="str">
            <v/>
          </cell>
          <cell r="J47" t="str">
            <v/>
          </cell>
          <cell r="K47">
            <v>45.5</v>
          </cell>
          <cell r="L47">
            <v>-1.8999999999999986</v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>
            <v>51.4</v>
          </cell>
          <cell r="Z47">
            <v>-3</v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</row>
        <row r="48">
          <cell r="A48" t="str">
            <v>YokohamaMAIZE</v>
          </cell>
          <cell r="G48">
            <v>57.5</v>
          </cell>
          <cell r="H48">
            <v>-6.7000000000000028</v>
          </cell>
          <cell r="I48" t="str">
            <v/>
          </cell>
          <cell r="J48" t="str">
            <v/>
          </cell>
          <cell r="K48">
            <v>51.3</v>
          </cell>
          <cell r="L48">
            <v>-6.2000000000000028</v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>
            <v>53.3</v>
          </cell>
          <cell r="Z48">
            <v>-5.6000000000000014</v>
          </cell>
          <cell r="AA48">
            <v>30</v>
          </cell>
          <cell r="AB48">
            <v>-3.2000000000000028</v>
          </cell>
          <cell r="AC48" t="str">
            <v/>
          </cell>
          <cell r="AD48" t="str">
            <v/>
          </cell>
        </row>
        <row r="49">
          <cell r="A49" t="str">
            <v>Pasir GudangMAIZE</v>
          </cell>
          <cell r="G49">
            <v>54.6</v>
          </cell>
          <cell r="H49">
            <v>-2</v>
          </cell>
          <cell r="I49" t="str">
            <v/>
          </cell>
          <cell r="J49" t="str">
            <v/>
          </cell>
          <cell r="K49">
            <v>47</v>
          </cell>
          <cell r="L49">
            <v>-1.8999999999999986</v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>
            <v>52.9</v>
          </cell>
          <cell r="Z49">
            <v>-3.1000000000000014</v>
          </cell>
          <cell r="AA49">
            <v>45.5</v>
          </cell>
          <cell r="AB49">
            <v>0.89999999999999858</v>
          </cell>
          <cell r="AC49" t="str">
            <v/>
          </cell>
          <cell r="AD49" t="str">
            <v/>
          </cell>
        </row>
        <row r="50">
          <cell r="A50" t="str">
            <v>InchonMAIZE</v>
          </cell>
          <cell r="G50">
            <v>55.8</v>
          </cell>
          <cell r="H50">
            <v>-6.7000000000000028</v>
          </cell>
          <cell r="I50" t="str">
            <v/>
          </cell>
          <cell r="J50" t="str">
            <v/>
          </cell>
          <cell r="K50">
            <v>49.4</v>
          </cell>
          <cell r="L50">
            <v>-6.2000000000000028</v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>
            <v>54.3</v>
          </cell>
          <cell r="Z50">
            <v>-5.9000000000000057</v>
          </cell>
          <cell r="AA50">
            <v>30.2</v>
          </cell>
          <cell r="AB50">
            <v>-3.4000000000000021</v>
          </cell>
          <cell r="AC50">
            <v>39.5</v>
          </cell>
          <cell r="AD50">
            <v>-5.2000000000000028</v>
          </cell>
        </row>
        <row r="51">
          <cell r="A51" t="str">
            <v>Ho Chi Minh CityMAIZE</v>
          </cell>
          <cell r="G51">
            <v>51.6</v>
          </cell>
          <cell r="H51">
            <v>-6</v>
          </cell>
          <cell r="I51" t="str">
            <v/>
          </cell>
          <cell r="J51" t="str">
            <v/>
          </cell>
          <cell r="K51">
            <v>45.2</v>
          </cell>
          <cell r="L51">
            <v>-5.5999999999999943</v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>
            <v>57</v>
          </cell>
          <cell r="Z51">
            <v>-6.6000000000000014</v>
          </cell>
          <cell r="AA51">
            <v>33.5</v>
          </cell>
          <cell r="AB51">
            <v>-3.6000000000000014</v>
          </cell>
          <cell r="AC51" t="str">
            <v/>
          </cell>
          <cell r="AD51" t="str">
            <v/>
          </cell>
        </row>
        <row r="52">
          <cell r="A52" t="str">
            <v>DalianHSS</v>
          </cell>
          <cell r="G52">
            <v>53.6</v>
          </cell>
          <cell r="H52">
            <v>-6.2999999999999972</v>
          </cell>
          <cell r="I52">
            <v>23.9</v>
          </cell>
          <cell r="J52">
            <v>-2.9000000000000021</v>
          </cell>
          <cell r="K52">
            <v>47.6</v>
          </cell>
          <cell r="L52">
            <v>-5.8999999999999986</v>
          </cell>
          <cell r="M52">
            <v>50.4</v>
          </cell>
          <cell r="N52">
            <v>-5.7000000000000028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>
            <v>42</v>
          </cell>
          <cell r="V52">
            <v>-5</v>
          </cell>
          <cell r="W52" t="str">
            <v/>
          </cell>
          <cell r="X52" t="str">
            <v/>
          </cell>
          <cell r="Y52">
            <v>52.4</v>
          </cell>
          <cell r="Z52">
            <v>-5.6000000000000014</v>
          </cell>
          <cell r="AA52">
            <v>29.6</v>
          </cell>
          <cell r="AB52">
            <v>-3.2999999999999972</v>
          </cell>
          <cell r="AC52">
            <v>41.9</v>
          </cell>
          <cell r="AD52">
            <v>-5.1000000000000014</v>
          </cell>
        </row>
        <row r="53">
          <cell r="A53" t="str">
            <v>KaohsiungHSS</v>
          </cell>
          <cell r="G53" t="str">
            <v/>
          </cell>
          <cell r="H53" t="str">
            <v/>
          </cell>
          <cell r="I53">
            <v>22.2</v>
          </cell>
          <cell r="J53">
            <v>-2.9000000000000021</v>
          </cell>
          <cell r="K53" t="str">
            <v/>
          </cell>
          <cell r="L53" t="str">
            <v/>
          </cell>
          <cell r="M53">
            <v>49</v>
          </cell>
          <cell r="N53">
            <v>-6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>
            <v>53.6</v>
          </cell>
          <cell r="Z53">
            <v>-6</v>
          </cell>
          <cell r="AA53">
            <v>30.6</v>
          </cell>
          <cell r="AB53">
            <v>-3.6000000000000014</v>
          </cell>
          <cell r="AC53" t="str">
            <v/>
          </cell>
          <cell r="AD53" t="str">
            <v/>
          </cell>
        </row>
        <row r="54">
          <cell r="A54" t="str">
            <v>JakartaHSS</v>
          </cell>
          <cell r="G54">
            <v>50.3</v>
          </cell>
          <cell r="H54">
            <v>-1.9000000000000057</v>
          </cell>
          <cell r="I54">
            <v>24.6</v>
          </cell>
          <cell r="J54">
            <v>0.5</v>
          </cell>
          <cell r="K54">
            <v>43.3</v>
          </cell>
          <cell r="L54">
            <v>-1.7000000000000028</v>
          </cell>
          <cell r="M54">
            <v>44.2</v>
          </cell>
          <cell r="N54">
            <v>-2.5999999999999943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>
            <v>50.1</v>
          </cell>
          <cell r="T54">
            <v>-1.7999999999999972</v>
          </cell>
          <cell r="U54">
            <v>44.9</v>
          </cell>
          <cell r="V54">
            <v>-1.5</v>
          </cell>
          <cell r="W54" t="str">
            <v/>
          </cell>
          <cell r="X54" t="str">
            <v/>
          </cell>
          <cell r="Y54">
            <v>48.7</v>
          </cell>
          <cell r="Z54">
            <v>-2.8999999999999986</v>
          </cell>
          <cell r="AA54">
            <v>43.5</v>
          </cell>
          <cell r="AB54">
            <v>0.79999999999999716</v>
          </cell>
          <cell r="AC54">
            <v>44.6</v>
          </cell>
          <cell r="AD54">
            <v>-1.6000000000000014</v>
          </cell>
        </row>
        <row r="55">
          <cell r="A55" t="str">
            <v>YokohamaHSS</v>
          </cell>
          <cell r="G55">
            <v>54.6</v>
          </cell>
          <cell r="H55">
            <v>-6.2999999999999972</v>
          </cell>
          <cell r="I55">
            <v>24.5</v>
          </cell>
          <cell r="J55">
            <v>-3</v>
          </cell>
          <cell r="K55">
            <v>48.8</v>
          </cell>
          <cell r="L55">
            <v>-5.9000000000000057</v>
          </cell>
          <cell r="M55">
            <v>48.6</v>
          </cell>
          <cell r="N55">
            <v>-5.3999999999999986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>
            <v>44.4</v>
          </cell>
          <cell r="X55">
            <v>-4.8000000000000043</v>
          </cell>
          <cell r="Y55">
            <v>50.6</v>
          </cell>
          <cell r="Z55">
            <v>-5.2999999999999972</v>
          </cell>
          <cell r="AA55">
            <v>28.6</v>
          </cell>
          <cell r="AB55">
            <v>-3</v>
          </cell>
          <cell r="AC55" t="str">
            <v/>
          </cell>
          <cell r="AD55" t="str">
            <v/>
          </cell>
        </row>
        <row r="56">
          <cell r="A56" t="str">
            <v>Pasir GudangHSS</v>
          </cell>
          <cell r="G56" t="str">
            <v/>
          </cell>
          <cell r="H56" t="str">
            <v/>
          </cell>
          <cell r="I56">
            <v>26.3</v>
          </cell>
          <cell r="J56">
            <v>0.60000000000000142</v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>
            <v>43.2</v>
          </cell>
          <cell r="AB56">
            <v>0.90000000000000568</v>
          </cell>
          <cell r="AC56" t="str">
            <v/>
          </cell>
          <cell r="AD56" t="str">
            <v/>
          </cell>
        </row>
        <row r="57">
          <cell r="A57" t="str">
            <v>InchonHSS</v>
          </cell>
          <cell r="G57">
            <v>53</v>
          </cell>
          <cell r="H57">
            <v>-6.3999999999999986</v>
          </cell>
          <cell r="I57">
            <v>23.2</v>
          </cell>
          <cell r="J57">
            <v>-3</v>
          </cell>
          <cell r="K57">
            <v>47</v>
          </cell>
          <cell r="L57">
            <v>-6</v>
          </cell>
          <cell r="M57">
            <v>49.5</v>
          </cell>
          <cell r="N57">
            <v>-5.7999999999999972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>
            <v>41.3</v>
          </cell>
          <cell r="T57">
            <v>-4.8000000000000043</v>
          </cell>
          <cell r="U57">
            <v>41.4</v>
          </cell>
          <cell r="V57">
            <v>-5</v>
          </cell>
          <cell r="W57" t="str">
            <v/>
          </cell>
          <cell r="X57" t="str">
            <v/>
          </cell>
          <cell r="Y57">
            <v>51.6</v>
          </cell>
          <cell r="Z57">
            <v>-5.6000000000000014</v>
          </cell>
          <cell r="AA57">
            <v>28.7</v>
          </cell>
          <cell r="AB57">
            <v>-3.3000000000000007</v>
          </cell>
          <cell r="AC57">
            <v>37.700000000000003</v>
          </cell>
          <cell r="AD57">
            <v>-5</v>
          </cell>
        </row>
        <row r="58">
          <cell r="A58" t="str">
            <v>Ho Chi Minh CityHSS</v>
          </cell>
          <cell r="G58">
            <v>49</v>
          </cell>
          <cell r="H58">
            <v>-5.7999999999999972</v>
          </cell>
          <cell r="I58" t="str">
            <v/>
          </cell>
          <cell r="J58" t="str">
            <v/>
          </cell>
          <cell r="K58">
            <v>43</v>
          </cell>
          <cell r="L58">
            <v>-5.3999999999999986</v>
          </cell>
          <cell r="M58">
            <v>45.9</v>
          </cell>
          <cell r="N58">
            <v>-5.3999999999999986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>
            <v>37.200000000000003</v>
          </cell>
          <cell r="V58">
            <v>-4.3999999999999986</v>
          </cell>
          <cell r="W58" t="str">
            <v/>
          </cell>
          <cell r="X58" t="str">
            <v/>
          </cell>
          <cell r="Y58">
            <v>54.1</v>
          </cell>
          <cell r="Z58">
            <v>-6.2999999999999972</v>
          </cell>
          <cell r="AA58" t="str">
            <v/>
          </cell>
          <cell r="AB58" t="str">
            <v/>
          </cell>
          <cell r="AC58">
            <v>37.200000000000003</v>
          </cell>
          <cell r="AD58">
            <v>-4.5</v>
          </cell>
        </row>
        <row r="59">
          <cell r="A59" t="str">
            <v>DalianBARLEY</v>
          </cell>
          <cell r="G59" t="str">
            <v/>
          </cell>
          <cell r="H59" t="str">
            <v/>
          </cell>
          <cell r="I59">
            <v>27.1</v>
          </cell>
          <cell r="J59">
            <v>-3.1999999999999993</v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>
            <v>47.8</v>
          </cell>
          <cell r="T59">
            <v>-5.3000000000000043</v>
          </cell>
          <cell r="U59">
            <v>47.8</v>
          </cell>
          <cell r="V59">
            <v>-5.5</v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</row>
        <row r="60">
          <cell r="A60" t="str">
            <v>YokohamaBARLEY</v>
          </cell>
          <cell r="G60" t="str">
            <v/>
          </cell>
          <cell r="H60" t="str">
            <v/>
          </cell>
          <cell r="I60">
            <v>27.8</v>
          </cell>
          <cell r="J60">
            <v>-3.1999999999999993</v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>
            <v>32.6</v>
          </cell>
          <cell r="AB60">
            <v>-3.3999999999999986</v>
          </cell>
          <cell r="AC60" t="str">
            <v/>
          </cell>
          <cell r="AD60" t="str">
            <v/>
          </cell>
        </row>
        <row r="61">
          <cell r="A61" t="str">
            <v>San VicenteMAIZE</v>
          </cell>
          <cell r="G61">
            <v>33.9</v>
          </cell>
          <cell r="H61">
            <v>-1.6000000000000014</v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</row>
        <row r="62">
          <cell r="A62" t="str">
            <v>BarranquillaMAIZE</v>
          </cell>
          <cell r="G62">
            <v>35.6</v>
          </cell>
          <cell r="H62">
            <v>-2.1000000000000014</v>
          </cell>
          <cell r="I62" t="str">
            <v/>
          </cell>
          <cell r="J62" t="str">
            <v/>
          </cell>
          <cell r="K62">
            <v>26</v>
          </cell>
          <cell r="L62">
            <v>-1.8000000000000007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</row>
        <row r="63">
          <cell r="A63" t="str">
            <v>Puerto CabelloMAIZE</v>
          </cell>
          <cell r="G63">
            <v>34.700000000000003</v>
          </cell>
          <cell r="H63">
            <v>-1.8999999999999986</v>
          </cell>
          <cell r="I63" t="str">
            <v/>
          </cell>
          <cell r="J63" t="str">
            <v/>
          </cell>
          <cell r="K63">
            <v>25.1</v>
          </cell>
          <cell r="L63">
            <v>-1.6999999999999993</v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>
            <v>21.1</v>
          </cell>
          <cell r="Z63">
            <v>-1.6999999999999993</v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</row>
        <row r="64">
          <cell r="A64" t="str">
            <v>SantosHSS</v>
          </cell>
          <cell r="G64">
            <v>16.899999999999999</v>
          </cell>
          <cell r="H64">
            <v>-0.80000000000000071</v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>
            <v>23.5</v>
          </cell>
          <cell r="N64">
            <v>-1.8000000000000007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>
            <v>27.9</v>
          </cell>
          <cell r="Z64">
            <v>-1.8000000000000007</v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</row>
        <row r="65">
          <cell r="A65" t="str">
            <v>San VicenteHSS</v>
          </cell>
          <cell r="G65">
            <v>32.4</v>
          </cell>
          <cell r="H65">
            <v>-1.6000000000000014</v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>
            <v>45.6</v>
          </cell>
          <cell r="N65">
            <v>-3.5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>
            <v>43.8</v>
          </cell>
          <cell r="Z65">
            <v>-3</v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</row>
        <row r="66">
          <cell r="A66" t="str">
            <v>BarranquillaHSS</v>
          </cell>
          <cell r="G66">
            <v>34.1</v>
          </cell>
          <cell r="H66">
            <v>-1.8999999999999986</v>
          </cell>
          <cell r="I66" t="str">
            <v/>
          </cell>
          <cell r="J66" t="str">
            <v/>
          </cell>
          <cell r="K66">
            <v>25</v>
          </cell>
          <cell r="L66">
            <v>-1.8000000000000007</v>
          </cell>
          <cell r="M66">
            <v>18.3</v>
          </cell>
          <cell r="N66">
            <v>-1.8999999999999986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>
            <v>19</v>
          </cell>
          <cell r="Z66">
            <v>-1.6999999999999993</v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</row>
        <row r="67">
          <cell r="A67" t="str">
            <v>Puerto CabelloHSS</v>
          </cell>
          <cell r="G67">
            <v>33.200000000000003</v>
          </cell>
          <cell r="H67">
            <v>-1.7999999999999972</v>
          </cell>
          <cell r="I67" t="str">
            <v/>
          </cell>
          <cell r="J67" t="str">
            <v/>
          </cell>
          <cell r="K67">
            <v>24.1</v>
          </cell>
          <cell r="L67">
            <v>-1.6999999999999993</v>
          </cell>
          <cell r="M67">
            <v>18.5</v>
          </cell>
          <cell r="N67">
            <v>-1.8999999999999986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>
            <v>20.3</v>
          </cell>
          <cell r="Z67">
            <v>-1.6999999999999993</v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</row>
        <row r="68">
          <cell r="A68" t="str">
            <v>ChittagongMAIZE</v>
          </cell>
          <cell r="G68">
            <v>61.3</v>
          </cell>
          <cell r="H68">
            <v>-2.5</v>
          </cell>
          <cell r="I68" t="str">
            <v/>
          </cell>
          <cell r="J68" t="str">
            <v/>
          </cell>
          <cell r="K68">
            <v>53.9</v>
          </cell>
          <cell r="L68">
            <v>-2.3000000000000043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</row>
        <row r="69">
          <cell r="A69" t="str">
            <v>ChittagongHSS</v>
          </cell>
          <cell r="G69">
            <v>58.5</v>
          </cell>
          <cell r="H69">
            <v>-2.3999999999999986</v>
          </cell>
          <cell r="I69">
            <v>36.4</v>
          </cell>
          <cell r="J69">
            <v>0.89999999999999858</v>
          </cell>
          <cell r="K69">
            <v>51.5</v>
          </cell>
          <cell r="L69">
            <v>-2.2999999999999972</v>
          </cell>
          <cell r="M69">
            <v>50.3</v>
          </cell>
          <cell r="N69">
            <v>-3.3000000000000043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>
            <v>55.9</v>
          </cell>
          <cell r="T69">
            <v>-2.2000000000000028</v>
          </cell>
          <cell r="U69">
            <v>51.4</v>
          </cell>
          <cell r="V69">
            <v>-1.8999999999999986</v>
          </cell>
          <cell r="W69" t="str">
            <v/>
          </cell>
          <cell r="X69" t="str">
            <v/>
          </cell>
          <cell r="Y69">
            <v>57.4</v>
          </cell>
          <cell r="Z69">
            <v>-3.3999999999999986</v>
          </cell>
          <cell r="AA69" t="str">
            <v/>
          </cell>
          <cell r="AB69" t="str">
            <v/>
          </cell>
          <cell r="AC69">
            <v>51.2</v>
          </cell>
          <cell r="AD69">
            <v>-1.8999999999999986</v>
          </cell>
        </row>
        <row r="70">
          <cell r="A70" t="str">
            <v>KandlaHSS</v>
          </cell>
          <cell r="G70" t="str">
            <v/>
          </cell>
          <cell r="H70" t="str">
            <v/>
          </cell>
          <cell r="I70">
            <v>27.3</v>
          </cell>
          <cell r="J70">
            <v>-3.5999999999999979</v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>
            <v>36.6</v>
          </cell>
          <cell r="V70">
            <v>-4.6000000000000014</v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>
            <v>36.700000000000003</v>
          </cell>
          <cell r="AD70">
            <v>-4.5999999999999943</v>
          </cell>
        </row>
        <row r="71">
          <cell r="A71" t="str">
            <v>KarachiHSS</v>
          </cell>
          <cell r="G71">
            <v>48.9</v>
          </cell>
          <cell r="H71">
            <v>-6</v>
          </cell>
          <cell r="I71">
            <v>25.9</v>
          </cell>
          <cell r="J71">
            <v>-3.3000000000000007</v>
          </cell>
          <cell r="K71">
            <v>42.9</v>
          </cell>
          <cell r="L71">
            <v>-5.6000000000000014</v>
          </cell>
          <cell r="M71">
            <v>43</v>
          </cell>
          <cell r="N71">
            <v>-5.2000000000000028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>
            <v>34.299999999999997</v>
          </cell>
          <cell r="V71">
            <v>-4.2000000000000028</v>
          </cell>
          <cell r="W71" t="str">
            <v/>
          </cell>
          <cell r="X71" t="str">
            <v/>
          </cell>
          <cell r="Y71">
            <v>51.9</v>
          </cell>
          <cell r="Z71">
            <v>-5.8999999999999986</v>
          </cell>
          <cell r="AA71" t="str">
            <v/>
          </cell>
          <cell r="AB71" t="str">
            <v/>
          </cell>
          <cell r="AC71">
            <v>34.4</v>
          </cell>
          <cell r="AD71">
            <v>-4.2000000000000028</v>
          </cell>
        </row>
        <row r="72">
          <cell r="A72" t="str">
            <v>ColomboHSS</v>
          </cell>
          <cell r="G72" t="str">
            <v/>
          </cell>
          <cell r="H72" t="str">
            <v/>
          </cell>
          <cell r="I72">
            <v>29.6</v>
          </cell>
          <cell r="J72">
            <v>0.60000000000000142</v>
          </cell>
          <cell r="K72" t="str">
            <v/>
          </cell>
          <cell r="L72" t="str">
            <v/>
          </cell>
          <cell r="M72">
            <v>40.700000000000003</v>
          </cell>
          <cell r="N72">
            <v>-2.5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>
            <v>46.7</v>
          </cell>
          <cell r="T72">
            <v>-1.6999999999999957</v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>
            <v>47.8</v>
          </cell>
          <cell r="Z72">
            <v>-2.7000000000000028</v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</row>
        <row r="73">
          <cell r="A73" t="str">
            <v>DurbanMAIZE</v>
          </cell>
          <cell r="G73">
            <v>30.3</v>
          </cell>
          <cell r="H73">
            <v>-1.5999999999999979</v>
          </cell>
          <cell r="I73" t="str">
            <v/>
          </cell>
          <cell r="J73" t="str">
            <v/>
          </cell>
          <cell r="K73">
            <v>22.5</v>
          </cell>
          <cell r="L73">
            <v>-1.6000000000000014</v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>
            <v>37.799999999999997</v>
          </cell>
          <cell r="AD73">
            <v>-3.8000000000000043</v>
          </cell>
        </row>
        <row r="74">
          <cell r="A74" t="str">
            <v>LuandaHSS</v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>
            <v>24.4</v>
          </cell>
          <cell r="T74">
            <v>-1.8000000000000007</v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</row>
        <row r="75">
          <cell r="A75" t="str">
            <v>DjiboutiHSS</v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>
            <v>53.7</v>
          </cell>
          <cell r="N75">
            <v>-4.7999999999999972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>
            <v>51.7</v>
          </cell>
          <cell r="T75">
            <v>-4.1999999999999957</v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>
            <v>64.2</v>
          </cell>
          <cell r="Z75">
            <v>-5.3999999999999915</v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</row>
        <row r="76">
          <cell r="A76" t="str">
            <v>TemaHSS</v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>
            <v>30.4</v>
          </cell>
          <cell r="N76">
            <v>-3.1000000000000014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>
            <v>27.8</v>
          </cell>
          <cell r="V76">
            <v>-2.8000000000000007</v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>
            <v>27.6</v>
          </cell>
          <cell r="AD76">
            <v>-2.8999999999999986</v>
          </cell>
        </row>
        <row r="77">
          <cell r="A77" t="str">
            <v>MombasaHSS</v>
          </cell>
          <cell r="G77">
            <v>43.9</v>
          </cell>
          <cell r="H77">
            <v>-1.6000000000000014</v>
          </cell>
          <cell r="I77" t="str">
            <v/>
          </cell>
          <cell r="J77" t="str">
            <v/>
          </cell>
          <cell r="K77">
            <v>36.799999999999997</v>
          </cell>
          <cell r="L77">
            <v>-1.5</v>
          </cell>
          <cell r="M77">
            <v>38</v>
          </cell>
          <cell r="N77">
            <v>-2.5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>
            <v>40.9</v>
          </cell>
          <cell r="V77">
            <v>-1.3000000000000043</v>
          </cell>
          <cell r="W77" t="str">
            <v/>
          </cell>
          <cell r="X77" t="str">
            <v/>
          </cell>
          <cell r="Y77">
            <v>42</v>
          </cell>
          <cell r="Z77">
            <v>-2.5</v>
          </cell>
          <cell r="AA77" t="str">
            <v/>
          </cell>
          <cell r="AB77" t="str">
            <v/>
          </cell>
          <cell r="AC77">
            <v>40.6</v>
          </cell>
          <cell r="AD77">
            <v>-1.3999999999999986</v>
          </cell>
        </row>
        <row r="78">
          <cell r="A78" t="str">
            <v>LagosHSS</v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>
            <v>31.6</v>
          </cell>
          <cell r="N78">
            <v>-1.6999999999999957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>
            <v>26.1</v>
          </cell>
          <cell r="T78">
            <v>-1.2999999999999972</v>
          </cell>
          <cell r="U78">
            <v>32.799999999999997</v>
          </cell>
          <cell r="V78">
            <v>-1.7000000000000028</v>
          </cell>
          <cell r="W78" t="str">
            <v/>
          </cell>
          <cell r="X78" t="str">
            <v/>
          </cell>
          <cell r="Y78">
            <v>39.5</v>
          </cell>
          <cell r="Z78">
            <v>-1.7999999999999972</v>
          </cell>
          <cell r="AA78" t="str">
            <v/>
          </cell>
          <cell r="AB78" t="str">
            <v/>
          </cell>
          <cell r="AC78">
            <v>32.700000000000003</v>
          </cell>
          <cell r="AD78">
            <v>-1.8999999999999986</v>
          </cell>
        </row>
        <row r="79">
          <cell r="A79" t="str">
            <v>DurbanHSS</v>
          </cell>
          <cell r="G79">
            <v>28.9</v>
          </cell>
          <cell r="H79">
            <v>-1.6000000000000014</v>
          </cell>
          <cell r="I79">
            <v>41.2</v>
          </cell>
          <cell r="J79">
            <v>-1.8999999999999986</v>
          </cell>
          <cell r="K79">
            <v>21.6</v>
          </cell>
          <cell r="L79">
            <v>-1.5</v>
          </cell>
          <cell r="M79">
            <v>35.299999999999997</v>
          </cell>
          <cell r="N79">
            <v>-3.3000000000000043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>
            <v>30.1</v>
          </cell>
          <cell r="T79">
            <v>-2.5</v>
          </cell>
          <cell r="U79">
            <v>36.299999999999997</v>
          </cell>
          <cell r="V79">
            <v>-3.4000000000000057</v>
          </cell>
          <cell r="W79" t="str">
            <v/>
          </cell>
          <cell r="X79" t="str">
            <v/>
          </cell>
          <cell r="Y79">
            <v>33.5</v>
          </cell>
          <cell r="Z79">
            <v>-2.7999999999999972</v>
          </cell>
          <cell r="AA79">
            <v>77.099999999999994</v>
          </cell>
          <cell r="AB79">
            <v>-2.7000000000000028</v>
          </cell>
          <cell r="AC79">
            <v>35.9</v>
          </cell>
          <cell r="AD79">
            <v>-3.6000000000000014</v>
          </cell>
        </row>
        <row r="80">
          <cell r="A80" t="str">
            <v>Port SudanHSS</v>
          </cell>
          <cell r="G80">
            <v>57.1</v>
          </cell>
          <cell r="H80">
            <v>-3.6999999999999957</v>
          </cell>
          <cell r="I80">
            <v>52</v>
          </cell>
          <cell r="J80">
            <v>-2.5</v>
          </cell>
          <cell r="K80">
            <v>44.1</v>
          </cell>
          <cell r="L80">
            <v>-3.1999999999999957</v>
          </cell>
          <cell r="M80">
            <v>48.1</v>
          </cell>
          <cell r="N80">
            <v>-4.2999999999999972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>
            <v>46.1</v>
          </cell>
          <cell r="T80">
            <v>-3.6999999999999957</v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>
            <v>58.7</v>
          </cell>
          <cell r="Z80">
            <v>-4.7999999999999972</v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8"/>
  <sheetViews>
    <sheetView topLeftCell="A13" zoomScale="75" workbookViewId="0">
      <selection activeCell="J28" sqref="J28"/>
    </sheetView>
  </sheetViews>
  <sheetFormatPr baseColWidth="10" defaultRowHeight="12.75"/>
  <cols>
    <col min="1" max="1" width="19" customWidth="1"/>
  </cols>
  <sheetData>
    <row r="2" spans="1:14">
      <c r="A2">
        <v>2013</v>
      </c>
    </row>
    <row r="3" spans="1:14" ht="13.5" thickBot="1"/>
    <row r="4" spans="1:14" ht="13.5" thickBot="1">
      <c r="A4" s="448"/>
      <c r="B4" s="449" t="s">
        <v>14</v>
      </c>
      <c r="C4" s="449" t="s">
        <v>0</v>
      </c>
      <c r="D4" s="449" t="s">
        <v>1</v>
      </c>
      <c r="E4" s="449" t="s">
        <v>2</v>
      </c>
      <c r="F4" s="449" t="s">
        <v>3</v>
      </c>
      <c r="G4" s="449" t="s">
        <v>4</v>
      </c>
      <c r="H4" s="449" t="s">
        <v>15</v>
      </c>
      <c r="I4" s="449" t="s">
        <v>5</v>
      </c>
      <c r="J4" s="449" t="s">
        <v>6</v>
      </c>
      <c r="K4" s="449" t="s">
        <v>7</v>
      </c>
      <c r="L4" s="449" t="s">
        <v>8</v>
      </c>
      <c r="M4" s="449" t="s">
        <v>9</v>
      </c>
    </row>
    <row r="5" spans="1:14" ht="20.25">
      <c r="A5" s="11" t="s">
        <v>274</v>
      </c>
      <c r="B5" s="306">
        <v>43.01</v>
      </c>
      <c r="C5" s="452" t="s">
        <v>280</v>
      </c>
      <c r="D5" s="306">
        <v>44.3</v>
      </c>
      <c r="E5" s="306">
        <v>44.3</v>
      </c>
      <c r="F5" s="306">
        <v>45</v>
      </c>
      <c r="G5" s="306">
        <v>46.5</v>
      </c>
      <c r="H5" s="306">
        <v>48</v>
      </c>
      <c r="I5" s="452">
        <v>48</v>
      </c>
      <c r="J5" s="452">
        <v>47</v>
      </c>
      <c r="K5" s="452">
        <v>47</v>
      </c>
      <c r="L5" s="452">
        <v>49</v>
      </c>
      <c r="M5" s="451">
        <v>52.04</v>
      </c>
    </row>
    <row r="6" spans="1:14" ht="20.25">
      <c r="A6" s="11" t="s">
        <v>275</v>
      </c>
      <c r="B6" s="307">
        <v>213.63</v>
      </c>
      <c r="C6" s="453">
        <v>213</v>
      </c>
      <c r="D6" s="307">
        <v>219.39</v>
      </c>
      <c r="E6" s="307">
        <v>219.39</v>
      </c>
      <c r="F6" s="307">
        <v>225</v>
      </c>
      <c r="G6" s="307">
        <v>230</v>
      </c>
      <c r="H6" s="307">
        <v>237</v>
      </c>
      <c r="I6" s="453">
        <v>237</v>
      </c>
      <c r="J6" s="453">
        <v>232</v>
      </c>
      <c r="K6" s="453">
        <v>232</v>
      </c>
      <c r="L6" s="453">
        <v>237</v>
      </c>
      <c r="M6" s="451">
        <v>260.04000000000002</v>
      </c>
    </row>
    <row r="7" spans="1:14" ht="20.25">
      <c r="A7" s="11" t="s">
        <v>276</v>
      </c>
      <c r="B7" s="307">
        <v>288.93</v>
      </c>
      <c r="C7" s="453">
        <v>289</v>
      </c>
      <c r="D7" s="307">
        <v>296.64</v>
      </c>
      <c r="E7" s="307">
        <v>296.64</v>
      </c>
      <c r="F7" s="307">
        <v>300</v>
      </c>
      <c r="G7" s="307">
        <v>310</v>
      </c>
      <c r="H7" s="307">
        <v>319</v>
      </c>
      <c r="I7" s="453">
        <v>319</v>
      </c>
      <c r="J7" s="453">
        <v>314</v>
      </c>
      <c r="K7" s="453">
        <v>314</v>
      </c>
      <c r="L7" s="453">
        <v>321</v>
      </c>
      <c r="M7" s="451">
        <v>349.6</v>
      </c>
    </row>
    <row r="8" spans="1:14" ht="21" thickBot="1">
      <c r="A8" s="11" t="s">
        <v>277</v>
      </c>
      <c r="B8" s="308">
        <v>421.48</v>
      </c>
      <c r="C8" s="454">
        <v>421.5</v>
      </c>
      <c r="D8" s="308">
        <v>433.63</v>
      </c>
      <c r="E8" s="308">
        <v>433.63</v>
      </c>
      <c r="F8" s="308">
        <v>442</v>
      </c>
      <c r="G8" s="308">
        <v>454</v>
      </c>
      <c r="H8" s="308">
        <v>467</v>
      </c>
      <c r="I8" s="454">
        <v>467</v>
      </c>
      <c r="J8" s="454">
        <v>459</v>
      </c>
      <c r="K8" s="454">
        <v>459</v>
      </c>
      <c r="L8" s="454">
        <v>468</v>
      </c>
      <c r="M8" s="451">
        <v>509.99</v>
      </c>
    </row>
    <row r="10" spans="1:14" ht="13.5" thickBot="1">
      <c r="A10">
        <v>2014</v>
      </c>
      <c r="C10" t="s">
        <v>279</v>
      </c>
    </row>
    <row r="11" spans="1:14" ht="13.5" thickBot="1">
      <c r="A11" s="448"/>
      <c r="B11" s="449" t="s">
        <v>14</v>
      </c>
      <c r="C11" s="449" t="s">
        <v>0</v>
      </c>
      <c r="D11" s="449" t="s">
        <v>1</v>
      </c>
      <c r="E11" s="449" t="s">
        <v>2</v>
      </c>
      <c r="F11" s="449" t="s">
        <v>3</v>
      </c>
      <c r="G11" s="449" t="s">
        <v>4</v>
      </c>
      <c r="H11" s="449" t="s">
        <v>15</v>
      </c>
      <c r="I11" s="449" t="s">
        <v>5</v>
      </c>
      <c r="J11" s="449" t="s">
        <v>6</v>
      </c>
      <c r="K11" s="449" t="s">
        <v>7</v>
      </c>
      <c r="L11" s="449" t="s">
        <v>8</v>
      </c>
      <c r="M11" s="449" t="s">
        <v>8</v>
      </c>
      <c r="N11" s="449" t="s">
        <v>9</v>
      </c>
    </row>
    <row r="12" spans="1:14" ht="20.25">
      <c r="A12" s="11" t="s">
        <v>274</v>
      </c>
      <c r="B12" s="451">
        <v>53</v>
      </c>
      <c r="C12" s="452">
        <v>54</v>
      </c>
      <c r="D12" s="452">
        <v>54</v>
      </c>
      <c r="E12" s="452">
        <v>54</v>
      </c>
      <c r="F12" s="306">
        <v>57</v>
      </c>
      <c r="G12" s="306">
        <v>58</v>
      </c>
      <c r="H12" s="306">
        <v>59</v>
      </c>
      <c r="I12" s="452">
        <v>60</v>
      </c>
      <c r="J12" s="452">
        <v>60</v>
      </c>
      <c r="K12" s="452">
        <v>60</v>
      </c>
      <c r="L12" s="452"/>
      <c r="M12" s="452">
        <v>60</v>
      </c>
      <c r="N12" s="452">
        <v>74.08</v>
      </c>
    </row>
    <row r="13" spans="1:14" ht="20.25">
      <c r="A13" s="11" t="s">
        <v>275</v>
      </c>
      <c r="B13" s="451">
        <v>265</v>
      </c>
      <c r="C13" s="453">
        <v>275</v>
      </c>
      <c r="D13" s="453">
        <v>275</v>
      </c>
      <c r="E13" s="453">
        <v>275</v>
      </c>
      <c r="F13" s="307">
        <v>286</v>
      </c>
      <c r="G13" s="307">
        <v>290</v>
      </c>
      <c r="H13" s="307">
        <v>293</v>
      </c>
      <c r="I13" s="453">
        <v>296</v>
      </c>
      <c r="J13" s="453">
        <v>296</v>
      </c>
      <c r="K13" s="453">
        <v>296</v>
      </c>
      <c r="L13" s="453"/>
      <c r="M13" s="453">
        <v>296</v>
      </c>
      <c r="N13" s="453">
        <v>366.02</v>
      </c>
    </row>
    <row r="14" spans="1:14" ht="20.25">
      <c r="A14" s="11" t="s">
        <v>276</v>
      </c>
      <c r="B14" s="451">
        <v>357</v>
      </c>
      <c r="C14" s="453">
        <v>371</v>
      </c>
      <c r="D14" s="453">
        <v>371</v>
      </c>
      <c r="E14" s="453">
        <v>371</v>
      </c>
      <c r="F14" s="307">
        <v>385</v>
      </c>
      <c r="G14" s="307">
        <v>389</v>
      </c>
      <c r="H14" s="307">
        <v>393</v>
      </c>
      <c r="I14" s="453">
        <v>395</v>
      </c>
      <c r="J14" s="453">
        <v>395</v>
      </c>
      <c r="K14" s="453">
        <v>395</v>
      </c>
      <c r="L14" s="453"/>
      <c r="M14" s="453">
        <v>395</v>
      </c>
      <c r="N14" s="453">
        <v>497.61</v>
      </c>
    </row>
    <row r="15" spans="1:14" ht="21" thickBot="1">
      <c r="A15" s="11" t="s">
        <v>277</v>
      </c>
      <c r="B15" s="451">
        <v>520</v>
      </c>
      <c r="C15" s="454">
        <v>535</v>
      </c>
      <c r="D15" s="454">
        <v>535</v>
      </c>
      <c r="E15" s="454">
        <v>535</v>
      </c>
      <c r="F15" s="308">
        <v>554</v>
      </c>
      <c r="G15" s="308">
        <v>561</v>
      </c>
      <c r="H15" s="308">
        <v>566</v>
      </c>
      <c r="I15" s="454">
        <v>570</v>
      </c>
      <c r="J15" s="454">
        <v>570</v>
      </c>
      <c r="K15" s="454">
        <v>570</v>
      </c>
      <c r="L15" s="454"/>
      <c r="M15" s="454">
        <v>570</v>
      </c>
      <c r="N15" s="454">
        <v>725.9</v>
      </c>
    </row>
    <row r="18" spans="1:14" ht="15.75" thickBot="1">
      <c r="A18" s="570">
        <v>2015</v>
      </c>
    </row>
    <row r="19" spans="1:14" ht="13.5" thickBot="1">
      <c r="A19" s="448"/>
      <c r="B19" s="449" t="s">
        <v>14</v>
      </c>
      <c r="C19" s="449" t="s">
        <v>0</v>
      </c>
      <c r="D19" s="449" t="s">
        <v>1</v>
      </c>
      <c r="E19" s="449" t="s">
        <v>2</v>
      </c>
      <c r="F19" s="449" t="s">
        <v>3</v>
      </c>
      <c r="G19" s="449" t="s">
        <v>4</v>
      </c>
      <c r="H19" s="449" t="s">
        <v>15</v>
      </c>
      <c r="I19" s="449" t="s">
        <v>5</v>
      </c>
      <c r="J19" s="449" t="s">
        <v>6</v>
      </c>
      <c r="K19" s="449" t="s">
        <v>7</v>
      </c>
      <c r="L19" s="449" t="s">
        <v>8</v>
      </c>
      <c r="M19" s="449" t="s">
        <v>8</v>
      </c>
      <c r="N19" s="449" t="s">
        <v>9</v>
      </c>
    </row>
    <row r="20" spans="1:14" ht="20.25">
      <c r="A20" s="11" t="s">
        <v>274</v>
      </c>
      <c r="B20" s="452">
        <v>74.08</v>
      </c>
      <c r="C20" s="452">
        <v>74.08</v>
      </c>
      <c r="D20" s="452">
        <v>77</v>
      </c>
      <c r="E20" s="452">
        <v>79</v>
      </c>
      <c r="F20" s="306">
        <v>80.5</v>
      </c>
      <c r="G20" s="306">
        <v>82</v>
      </c>
      <c r="H20" s="306">
        <v>82</v>
      </c>
      <c r="I20" s="306">
        <v>82</v>
      </c>
      <c r="J20" s="306">
        <v>82</v>
      </c>
      <c r="K20" s="306">
        <v>82</v>
      </c>
      <c r="L20" s="452"/>
      <c r="M20" s="306">
        <v>82</v>
      </c>
      <c r="N20" s="306">
        <v>82</v>
      </c>
    </row>
    <row r="21" spans="1:14" ht="20.25">
      <c r="A21" s="11" t="s">
        <v>275</v>
      </c>
      <c r="B21" s="453">
        <v>366.02</v>
      </c>
      <c r="C21" s="453">
        <v>366.02</v>
      </c>
      <c r="D21" s="453">
        <v>380</v>
      </c>
      <c r="E21" s="453">
        <v>386</v>
      </c>
      <c r="F21" s="307">
        <v>390</v>
      </c>
      <c r="G21" s="307">
        <v>392</v>
      </c>
      <c r="H21" s="307">
        <v>392</v>
      </c>
      <c r="I21" s="307">
        <v>392</v>
      </c>
      <c r="J21" s="307">
        <v>392</v>
      </c>
      <c r="K21" s="307">
        <v>392</v>
      </c>
      <c r="L21" s="453"/>
      <c r="M21" s="307">
        <v>392</v>
      </c>
      <c r="N21" s="307">
        <v>392</v>
      </c>
    </row>
    <row r="22" spans="1:14" ht="20.25">
      <c r="A22" s="11" t="s">
        <v>276</v>
      </c>
      <c r="B22" s="453">
        <v>497.61</v>
      </c>
      <c r="C22" s="453">
        <v>497.61</v>
      </c>
      <c r="D22" s="453">
        <v>515</v>
      </c>
      <c r="E22" s="453">
        <v>523</v>
      </c>
      <c r="F22" s="307">
        <v>530</v>
      </c>
      <c r="G22" s="307">
        <v>534</v>
      </c>
      <c r="H22" s="307">
        <v>534</v>
      </c>
      <c r="I22" s="307">
        <v>534</v>
      </c>
      <c r="J22" s="307">
        <v>534</v>
      </c>
      <c r="K22" s="307">
        <v>534</v>
      </c>
      <c r="L22" s="453"/>
      <c r="M22" s="307">
        <v>534</v>
      </c>
      <c r="N22" s="307">
        <v>534</v>
      </c>
    </row>
    <row r="23" spans="1:14" ht="21" thickBot="1">
      <c r="A23" s="11" t="s">
        <v>277</v>
      </c>
      <c r="B23" s="454">
        <v>725.9</v>
      </c>
      <c r="C23" s="454">
        <v>725.9</v>
      </c>
      <c r="D23" s="454">
        <v>750</v>
      </c>
      <c r="E23" s="454">
        <v>760</v>
      </c>
      <c r="F23" s="308">
        <v>772</v>
      </c>
      <c r="G23" s="308">
        <v>777</v>
      </c>
      <c r="H23" s="308">
        <v>777</v>
      </c>
      <c r="I23" s="308">
        <v>777</v>
      </c>
      <c r="J23" s="308">
        <v>777</v>
      </c>
      <c r="K23" s="308">
        <v>777</v>
      </c>
      <c r="L23" s="454"/>
      <c r="M23" s="308">
        <v>777</v>
      </c>
      <c r="N23" s="308">
        <v>777</v>
      </c>
    </row>
    <row r="26" spans="1:14" ht="15.75" thickBot="1">
      <c r="A26" s="570">
        <v>2016</v>
      </c>
    </row>
    <row r="27" spans="1:14" ht="13.5" thickBot="1">
      <c r="A27" s="448"/>
      <c r="B27" s="449" t="s">
        <v>14</v>
      </c>
      <c r="C27" s="449" t="s">
        <v>0</v>
      </c>
      <c r="D27" s="449" t="s">
        <v>1</v>
      </c>
      <c r="E27" s="449" t="s">
        <v>2</v>
      </c>
      <c r="F27" s="449" t="s">
        <v>3</v>
      </c>
      <c r="G27" s="449" t="s">
        <v>4</v>
      </c>
      <c r="H27" s="449" t="s">
        <v>15</v>
      </c>
      <c r="I27" s="449" t="s">
        <v>5</v>
      </c>
      <c r="J27" s="449" t="s">
        <v>6</v>
      </c>
      <c r="K27" s="449" t="s">
        <v>7</v>
      </c>
      <c r="L27" s="449" t="s">
        <v>8</v>
      </c>
      <c r="M27" s="449" t="s">
        <v>8</v>
      </c>
      <c r="N27" s="449" t="s">
        <v>9</v>
      </c>
    </row>
    <row r="28" spans="1:14" ht="20.25">
      <c r="A28" s="11" t="s">
        <v>274</v>
      </c>
      <c r="B28" s="306">
        <v>87.75</v>
      </c>
      <c r="C28" s="452">
        <v>87.75</v>
      </c>
      <c r="D28" s="452">
        <v>87.75</v>
      </c>
      <c r="E28" s="452">
        <v>91.9</v>
      </c>
      <c r="F28" s="306">
        <v>91.9</v>
      </c>
      <c r="G28" s="306">
        <v>91.9</v>
      </c>
      <c r="H28" s="306">
        <v>91.9</v>
      </c>
      <c r="I28" s="306"/>
      <c r="J28" s="306"/>
      <c r="K28" s="306"/>
      <c r="L28" s="452"/>
      <c r="M28" s="306"/>
      <c r="N28" s="306"/>
    </row>
    <row r="29" spans="1:14" ht="20.25">
      <c r="A29" s="11" t="s">
        <v>275</v>
      </c>
      <c r="B29" s="307">
        <v>438.41</v>
      </c>
      <c r="C29" s="453">
        <v>438.41</v>
      </c>
      <c r="D29" s="453">
        <v>438.41</v>
      </c>
      <c r="E29" s="453">
        <v>431.97</v>
      </c>
      <c r="F29" s="307">
        <v>431.97</v>
      </c>
      <c r="G29" s="307">
        <v>431.97</v>
      </c>
      <c r="H29" s="307">
        <v>431.97</v>
      </c>
      <c r="I29" s="307"/>
      <c r="J29" s="307"/>
      <c r="K29" s="307"/>
      <c r="L29" s="453"/>
      <c r="M29" s="307"/>
      <c r="N29" s="307"/>
    </row>
    <row r="30" spans="1:14" ht="20.25">
      <c r="A30" s="11" t="s">
        <v>276</v>
      </c>
      <c r="B30" s="307">
        <v>589.41999999999996</v>
      </c>
      <c r="C30" s="453">
        <v>589.41999999999996</v>
      </c>
      <c r="D30" s="453">
        <v>589.41999999999996</v>
      </c>
      <c r="E30" s="453">
        <v>566.46</v>
      </c>
      <c r="F30" s="307">
        <v>566.46</v>
      </c>
      <c r="G30" s="307">
        <v>566.46</v>
      </c>
      <c r="H30" s="307">
        <v>566.46</v>
      </c>
      <c r="I30" s="307"/>
      <c r="J30" s="307"/>
      <c r="K30" s="307"/>
      <c r="L30" s="453"/>
      <c r="M30" s="307"/>
      <c r="N30" s="307"/>
    </row>
    <row r="31" spans="1:14" ht="21" thickBot="1">
      <c r="A31" s="11" t="s">
        <v>277</v>
      </c>
      <c r="B31" s="308">
        <v>851.48</v>
      </c>
      <c r="C31" s="454">
        <v>851.48</v>
      </c>
      <c r="D31" s="454">
        <v>851.48</v>
      </c>
      <c r="E31" s="454">
        <v>639</v>
      </c>
      <c r="F31" s="308">
        <v>639</v>
      </c>
      <c r="G31" s="308">
        <v>639</v>
      </c>
      <c r="H31" s="308">
        <v>639</v>
      </c>
      <c r="I31" s="308"/>
      <c r="J31" s="308"/>
      <c r="K31" s="308"/>
      <c r="L31" s="454"/>
      <c r="M31" s="308"/>
      <c r="N31" s="308"/>
    </row>
    <row r="34" spans="1:13">
      <c r="A34">
        <v>2010</v>
      </c>
    </row>
    <row r="35" spans="1:13" ht="13.5" thickBot="1"/>
    <row r="36" spans="1:13" ht="13.5" thickBot="1">
      <c r="A36" s="448"/>
      <c r="B36" s="449" t="s">
        <v>14</v>
      </c>
      <c r="C36" s="449" t="s">
        <v>0</v>
      </c>
      <c r="D36" s="449" t="s">
        <v>1</v>
      </c>
      <c r="E36" s="449" t="s">
        <v>2</v>
      </c>
      <c r="F36" s="449" t="s">
        <v>3</v>
      </c>
      <c r="G36" s="449" t="s">
        <v>4</v>
      </c>
      <c r="H36" s="449" t="s">
        <v>15</v>
      </c>
      <c r="I36" s="449" t="s">
        <v>5</v>
      </c>
      <c r="J36" s="449" t="s">
        <v>6</v>
      </c>
      <c r="K36" s="449" t="s">
        <v>7</v>
      </c>
      <c r="L36" s="449" t="s">
        <v>8</v>
      </c>
      <c r="M36" s="449" t="s">
        <v>9</v>
      </c>
    </row>
    <row r="37" spans="1:13" ht="20.25">
      <c r="A37" s="11" t="s">
        <v>10</v>
      </c>
      <c r="B37" s="306">
        <f>(70+70+70+70)/4</f>
        <v>70</v>
      </c>
      <c r="C37" s="452">
        <v>73</v>
      </c>
      <c r="D37" s="306">
        <f>(73+73+73+73+73)/5</f>
        <v>73</v>
      </c>
      <c r="E37" s="306">
        <f>(73+73+73+73)/4</f>
        <v>73</v>
      </c>
      <c r="F37" s="306">
        <f>(73+73+73+73)/4</f>
        <v>73</v>
      </c>
      <c r="G37" s="306">
        <f>(73+73+73+73+73)/5</f>
        <v>73</v>
      </c>
      <c r="H37" s="306">
        <v>75</v>
      </c>
      <c r="I37" s="452">
        <f>(73+73+73+73+73)/5</f>
        <v>73</v>
      </c>
      <c r="J37" s="452">
        <f>(73+73+73+73+73)/5</f>
        <v>73</v>
      </c>
      <c r="K37" s="452">
        <f>(70+70+70+73+73)/5</f>
        <v>71.2</v>
      </c>
      <c r="L37" s="452">
        <f>(70+68+70+70+70)/5</f>
        <v>69.599999999999994</v>
      </c>
      <c r="M37" s="306">
        <f>(75+75+70+70)/4</f>
        <v>72.5</v>
      </c>
    </row>
    <row r="38" spans="1:13" ht="20.25">
      <c r="A38" s="11" t="s">
        <v>11</v>
      </c>
      <c r="B38" s="307">
        <f>(83+83+83+83)/4</f>
        <v>83</v>
      </c>
      <c r="C38" s="453">
        <v>86</v>
      </c>
      <c r="D38" s="307">
        <f>(86+86+86+86+86)/5</f>
        <v>86</v>
      </c>
      <c r="E38" s="307">
        <f>(86+86+86+86)/4</f>
        <v>86</v>
      </c>
      <c r="F38" s="307">
        <f>(86+86+86+86)/4</f>
        <v>86</v>
      </c>
      <c r="G38" s="307">
        <f>(86+86+86+86+86)/5</f>
        <v>86</v>
      </c>
      <c r="H38" s="307">
        <v>89</v>
      </c>
      <c r="I38" s="453">
        <f>(86+86+86+86+86)/5</f>
        <v>86</v>
      </c>
      <c r="J38" s="453">
        <f>(86+86+86+86+86)/5</f>
        <v>86</v>
      </c>
      <c r="K38" s="453">
        <f>(81+83+81+86+86)/5</f>
        <v>83.4</v>
      </c>
      <c r="L38" s="453">
        <f>(81+78+80+80+80)/5</f>
        <v>79.8</v>
      </c>
      <c r="M38" s="307">
        <f>(80+80+83+83)/4</f>
        <v>81.5</v>
      </c>
    </row>
    <row r="39" spans="1:13" ht="20.25">
      <c r="A39" s="11" t="s">
        <v>12</v>
      </c>
      <c r="B39" s="307">
        <f>(65+65+65+65)/4</f>
        <v>65</v>
      </c>
      <c r="C39" s="453">
        <v>68</v>
      </c>
      <c r="D39" s="307">
        <f>(68+68+68+68+68)/5</f>
        <v>68</v>
      </c>
      <c r="E39" s="307">
        <f>(68+68+68+68)/4</f>
        <v>68</v>
      </c>
      <c r="F39" s="307">
        <f>(68+68+68+68)/4</f>
        <v>68</v>
      </c>
      <c r="G39" s="307">
        <f>(68+68+68+68+68)/5</f>
        <v>68</v>
      </c>
      <c r="H39" s="307">
        <v>71</v>
      </c>
      <c r="I39" s="453">
        <f>(68+68+68+68+68)/5</f>
        <v>68</v>
      </c>
      <c r="J39" s="453">
        <f>(68+68+68+68+68)/5</f>
        <v>68</v>
      </c>
      <c r="K39" s="453">
        <f>(63+65+63+68+68)/5</f>
        <v>65.400000000000006</v>
      </c>
      <c r="L39" s="453">
        <f>(63+60+63+63+63)/5</f>
        <v>62.4</v>
      </c>
      <c r="M39" s="307">
        <f>(63+63+67+67)/4</f>
        <v>65</v>
      </c>
    </row>
    <row r="40" spans="1:13" ht="21" thickBot="1">
      <c r="A40" s="11" t="s">
        <v>13</v>
      </c>
      <c r="B40" s="308">
        <f>(51+51+51+51)/4</f>
        <v>51</v>
      </c>
      <c r="C40" s="454">
        <v>54</v>
      </c>
      <c r="D40" s="308">
        <f>(54+54+54+54+54)/5</f>
        <v>54</v>
      </c>
      <c r="E40" s="308">
        <f>(54+54+54+54)/4</f>
        <v>54</v>
      </c>
      <c r="F40" s="308">
        <f>(54+54+54+54)/4</f>
        <v>54</v>
      </c>
      <c r="G40" s="308">
        <f>(54+54+54+54+54)/5</f>
        <v>54</v>
      </c>
      <c r="H40" s="308">
        <v>57</v>
      </c>
      <c r="I40" s="454">
        <f>(54+54+54+54+54)/5</f>
        <v>54</v>
      </c>
      <c r="J40" s="454">
        <f>(54+54+54+54+54)/5</f>
        <v>54</v>
      </c>
      <c r="K40" s="454">
        <f>(50+51+50+54+54)/5</f>
        <v>51.8</v>
      </c>
      <c r="L40" s="454">
        <f>(50+48+51+51+51)/5</f>
        <v>50.2</v>
      </c>
      <c r="M40" s="308">
        <f>(51+51+54+54)/4</f>
        <v>52.5</v>
      </c>
    </row>
    <row r="43" spans="1:13" ht="13.5" thickBot="1">
      <c r="A43">
        <v>2014</v>
      </c>
    </row>
    <row r="44" spans="1:13" ht="13.5" thickBot="1">
      <c r="A44" s="448"/>
      <c r="B44" s="449" t="s">
        <v>14</v>
      </c>
      <c r="C44" s="449" t="s">
        <v>0</v>
      </c>
      <c r="D44" s="449" t="s">
        <v>1</v>
      </c>
      <c r="E44" s="449" t="s">
        <v>2</v>
      </c>
      <c r="F44" s="449" t="s">
        <v>3</v>
      </c>
      <c r="G44" s="449" t="s">
        <v>4</v>
      </c>
      <c r="H44" s="449" t="s">
        <v>15</v>
      </c>
      <c r="I44" s="449" t="s">
        <v>5</v>
      </c>
      <c r="J44" s="449" t="s">
        <v>6</v>
      </c>
      <c r="K44" s="449" t="s">
        <v>7</v>
      </c>
      <c r="L44" s="449" t="s">
        <v>8</v>
      </c>
      <c r="M44" s="449" t="s">
        <v>9</v>
      </c>
    </row>
    <row r="45" spans="1:13" ht="20.25">
      <c r="A45" s="11" t="s">
        <v>10</v>
      </c>
      <c r="B45" s="306">
        <f>(70+70+70+70)/4</f>
        <v>70</v>
      </c>
      <c r="C45" s="452">
        <v>73</v>
      </c>
      <c r="D45" s="306">
        <f>(73+73+73+73+73)/5</f>
        <v>73</v>
      </c>
      <c r="E45" s="306">
        <f>(73+73+73+73)/4</f>
        <v>73</v>
      </c>
      <c r="F45" s="306">
        <f>(73+73+73+73)/4</f>
        <v>73</v>
      </c>
      <c r="G45" s="306">
        <f>(73+73+73+73+73)/5</f>
        <v>73</v>
      </c>
      <c r="H45" s="306">
        <v>75</v>
      </c>
      <c r="I45" s="452">
        <f>(73+73+73+73+73)/5</f>
        <v>73</v>
      </c>
      <c r="J45" s="452">
        <f>(73+73+73+73+73)/5</f>
        <v>73</v>
      </c>
      <c r="K45" s="452">
        <f>(70+70+70+73+73)/5</f>
        <v>71.2</v>
      </c>
      <c r="L45" s="452">
        <f>(70+68+70+70+70)/5</f>
        <v>69.599999999999994</v>
      </c>
      <c r="M45" s="306">
        <f>(75+75+70+70)/4</f>
        <v>72.5</v>
      </c>
    </row>
    <row r="46" spans="1:13" ht="20.25">
      <c r="A46" s="11" t="s">
        <v>11</v>
      </c>
      <c r="B46" s="307">
        <f>(83+83+83+83)/4</f>
        <v>83</v>
      </c>
      <c r="C46" s="453">
        <v>86</v>
      </c>
      <c r="D46" s="307">
        <f>(86+86+86+86+86)/5</f>
        <v>86</v>
      </c>
      <c r="E46" s="307">
        <f>(86+86+86+86)/4</f>
        <v>86</v>
      </c>
      <c r="F46" s="307">
        <f>(86+86+86+86)/4</f>
        <v>86</v>
      </c>
      <c r="G46" s="307">
        <f>(86+86+86+86+86)/5</f>
        <v>86</v>
      </c>
      <c r="H46" s="307">
        <v>89</v>
      </c>
      <c r="I46" s="453">
        <f>(86+86+86+86+86)/5</f>
        <v>86</v>
      </c>
      <c r="J46" s="453">
        <f>(86+86+86+86+86)/5</f>
        <v>86</v>
      </c>
      <c r="K46" s="453">
        <f>(81+83+81+86+86)/5</f>
        <v>83.4</v>
      </c>
      <c r="L46" s="453">
        <f>(81+78+80+80+80)/5</f>
        <v>79.8</v>
      </c>
      <c r="M46" s="307">
        <f>(80+80+83+83)/4</f>
        <v>81.5</v>
      </c>
    </row>
    <row r="47" spans="1:13" ht="20.25">
      <c r="A47" s="11" t="s">
        <v>12</v>
      </c>
      <c r="B47" s="307">
        <f>(65+65+65+65)/4</f>
        <v>65</v>
      </c>
      <c r="C47" s="453">
        <v>68</v>
      </c>
      <c r="D47" s="307">
        <f>(68+68+68+68+68)/5</f>
        <v>68</v>
      </c>
      <c r="E47" s="307">
        <f>(68+68+68+68)/4</f>
        <v>68</v>
      </c>
      <c r="F47" s="307">
        <f>(68+68+68+68)/4</f>
        <v>68</v>
      </c>
      <c r="G47" s="307">
        <f>(68+68+68+68+68)/5</f>
        <v>68</v>
      </c>
      <c r="H47" s="307">
        <v>71</v>
      </c>
      <c r="I47" s="453">
        <f>(68+68+68+68+68)/5</f>
        <v>68</v>
      </c>
      <c r="J47" s="453">
        <f>(68+68+68+68+68)/5</f>
        <v>68</v>
      </c>
      <c r="K47" s="453">
        <f>(63+65+63+68+68)/5</f>
        <v>65.400000000000006</v>
      </c>
      <c r="L47" s="453">
        <f>(63+60+63+63+63)/5</f>
        <v>62.4</v>
      </c>
      <c r="M47" s="307">
        <f>(63+63+67+67)/4</f>
        <v>65</v>
      </c>
    </row>
    <row r="48" spans="1:13" ht="21" thickBot="1">
      <c r="A48" s="11" t="s">
        <v>13</v>
      </c>
      <c r="B48" s="308">
        <f>(51+51+51+51)/4</f>
        <v>51</v>
      </c>
      <c r="C48" s="454">
        <v>54</v>
      </c>
      <c r="D48" s="308">
        <f>(54+54+54+54+54)/5</f>
        <v>54</v>
      </c>
      <c r="E48" s="308">
        <f>(54+54+54+54)/4</f>
        <v>54</v>
      </c>
      <c r="F48" s="308">
        <f>(54+54+54+54)/4</f>
        <v>54</v>
      </c>
      <c r="G48" s="308">
        <f>(54+54+54+54+54)/5</f>
        <v>54</v>
      </c>
      <c r="H48" s="308">
        <v>57</v>
      </c>
      <c r="I48" s="454">
        <f>(54+54+54+54+54)/5</f>
        <v>54</v>
      </c>
      <c r="J48" s="454">
        <f>(54+54+54+54+54)/5</f>
        <v>54</v>
      </c>
      <c r="K48" s="454">
        <f>(50+51+50+54+54)/5</f>
        <v>51.8</v>
      </c>
      <c r="L48" s="454">
        <f>(50+48+51+51+51)/5</f>
        <v>50.2</v>
      </c>
      <c r="M48" s="308">
        <f>(51+51+54+54)/4</f>
        <v>52.5</v>
      </c>
    </row>
  </sheetData>
  <phoneticPr fontId="36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AC79"/>
  <sheetViews>
    <sheetView zoomScale="75" workbookViewId="0">
      <pane xSplit="2" topLeftCell="C1" activePane="topRight" state="frozen"/>
      <selection pane="topRight" activeCell="D10" sqref="D10"/>
    </sheetView>
  </sheetViews>
  <sheetFormatPr baseColWidth="10" defaultRowHeight="12.75"/>
  <cols>
    <col min="1" max="1" width="18.42578125" customWidth="1"/>
    <col min="2" max="2" width="23" customWidth="1"/>
    <col min="3" max="4" width="13.28515625" customWidth="1"/>
    <col min="5" max="5" width="14.5703125" bestFit="1" customWidth="1"/>
    <col min="6" max="6" width="13.28515625" customWidth="1"/>
    <col min="7" max="7" width="17.7109375" bestFit="1" customWidth="1"/>
    <col min="18" max="18" width="17.7109375" customWidth="1"/>
  </cols>
  <sheetData>
    <row r="1" spans="1:29">
      <c r="B1" s="484" t="s">
        <v>38</v>
      </c>
      <c r="C1" s="484" t="s">
        <v>39</v>
      </c>
      <c r="D1" s="484" t="s">
        <v>40</v>
      </c>
      <c r="E1" s="484" t="s">
        <v>41</v>
      </c>
      <c r="F1" s="484" t="s">
        <v>42</v>
      </c>
      <c r="G1" s="484" t="s">
        <v>43</v>
      </c>
      <c r="H1" s="484" t="s">
        <v>44</v>
      </c>
      <c r="I1" s="484" t="s">
        <v>45</v>
      </c>
      <c r="J1" s="484" t="s">
        <v>46</v>
      </c>
      <c r="K1" s="484" t="s">
        <v>47</v>
      </c>
      <c r="L1" s="484" t="s">
        <v>48</v>
      </c>
      <c r="M1" s="484" t="s">
        <v>49</v>
      </c>
      <c r="S1">
        <v>2001</v>
      </c>
      <c r="T1">
        <v>2002</v>
      </c>
      <c r="U1">
        <v>2003</v>
      </c>
    </row>
    <row r="2" spans="1:29" ht="15" thickBot="1">
      <c r="A2" t="s">
        <v>23</v>
      </c>
      <c r="B2" s="485">
        <v>0.1072</v>
      </c>
      <c r="C2" s="485">
        <v>0.1069</v>
      </c>
      <c r="D2" s="485"/>
      <c r="E2" s="485"/>
      <c r="F2" s="485"/>
      <c r="G2" s="485"/>
      <c r="H2" s="485"/>
      <c r="I2" s="486"/>
      <c r="J2" s="486"/>
      <c r="K2" s="486"/>
      <c r="L2" s="485"/>
      <c r="M2" s="485"/>
      <c r="N2" s="17"/>
      <c r="R2" t="s">
        <v>24</v>
      </c>
      <c r="S2" s="85">
        <v>2.5899999999999999E-2</v>
      </c>
      <c r="T2" s="48">
        <v>4.1252263731267523E-2</v>
      </c>
      <c r="AB2" t="s">
        <v>48</v>
      </c>
      <c r="AC2" t="s">
        <v>49</v>
      </c>
    </row>
    <row r="3" spans="1:29" ht="15" thickBot="1">
      <c r="A3" t="s">
        <v>25</v>
      </c>
      <c r="B3" s="485">
        <v>0.10340000000000001</v>
      </c>
      <c r="C3" s="485">
        <v>9.8799999999999999E-2</v>
      </c>
      <c r="D3" s="485"/>
      <c r="E3" s="485"/>
      <c r="F3" s="485"/>
      <c r="G3" s="485"/>
      <c r="H3" s="485"/>
      <c r="I3" s="486"/>
      <c r="J3" s="486"/>
      <c r="K3" s="486"/>
      <c r="L3" s="485"/>
      <c r="M3" s="485"/>
      <c r="N3" s="17"/>
      <c r="R3" t="s">
        <v>26</v>
      </c>
      <c r="S3" s="85">
        <v>2.3300000000000001E-2</v>
      </c>
      <c r="T3" s="48">
        <v>2.9481440959045303E-2</v>
      </c>
    </row>
    <row r="4" spans="1:29" ht="15" thickBot="1">
      <c r="A4" t="s">
        <v>27</v>
      </c>
      <c r="B4" s="485">
        <v>7.0000000000000007E-2</v>
      </c>
      <c r="C4" s="485">
        <v>6.8699999999999997E-2</v>
      </c>
      <c r="D4" s="485"/>
      <c r="E4" s="485"/>
      <c r="F4" s="485"/>
      <c r="G4" s="485"/>
      <c r="H4" s="485"/>
      <c r="I4" s="486"/>
      <c r="J4" s="486"/>
      <c r="K4" s="486"/>
      <c r="L4" s="485"/>
      <c r="M4" s="485"/>
      <c r="N4" s="17"/>
      <c r="R4" t="s">
        <v>28</v>
      </c>
      <c r="S4" s="85">
        <v>2.1100000000000001E-2</v>
      </c>
      <c r="T4" s="48">
        <v>5.8740837955893778E-2</v>
      </c>
    </row>
    <row r="5" spans="1:29" ht="15" thickBot="1">
      <c r="A5" t="s">
        <v>29</v>
      </c>
      <c r="B5" s="485">
        <v>7.6999999999999999E-2</v>
      </c>
      <c r="C5" s="485">
        <v>8.0399999999999999E-2</v>
      </c>
      <c r="D5" s="485"/>
      <c r="E5" s="485"/>
      <c r="F5" s="485"/>
      <c r="G5" s="485"/>
      <c r="H5" s="485"/>
      <c r="I5" s="486"/>
      <c r="J5" s="486"/>
      <c r="K5" s="486"/>
      <c r="L5" s="485"/>
      <c r="M5" s="485"/>
      <c r="N5" s="17"/>
      <c r="R5" t="s">
        <v>30</v>
      </c>
      <c r="S5" s="85">
        <v>2.0400000000000001E-2</v>
      </c>
      <c r="T5" s="48">
        <v>2.7298917593685048E-2</v>
      </c>
    </row>
    <row r="6" spans="1:29" ht="15" thickBot="1">
      <c r="A6" t="s">
        <v>31</v>
      </c>
      <c r="B6" s="485">
        <v>6.9599999999999995E-2</v>
      </c>
      <c r="C6" s="485">
        <v>6.9699999999999998E-2</v>
      </c>
      <c r="D6" s="485"/>
      <c r="E6" s="485"/>
      <c r="F6" s="485"/>
      <c r="G6" s="485"/>
      <c r="H6" s="485"/>
      <c r="I6" s="486"/>
      <c r="J6" s="486"/>
      <c r="K6" s="486"/>
      <c r="L6" s="485"/>
      <c r="M6" s="485"/>
      <c r="N6" s="17"/>
      <c r="R6" t="s">
        <v>32</v>
      </c>
      <c r="S6" s="85">
        <v>1.8100000000000002E-2</v>
      </c>
      <c r="T6" s="48">
        <v>2.7686446085547316E-2</v>
      </c>
      <c r="AB6">
        <v>440.52306469674528</v>
      </c>
      <c r="AC6">
        <v>383.98179206798608</v>
      </c>
    </row>
    <row r="7" spans="1:29" ht="15" thickBot="1">
      <c r="A7" t="s">
        <v>33</v>
      </c>
      <c r="B7" s="489">
        <v>8.3199999999999996E-2</v>
      </c>
      <c r="C7" s="489">
        <v>8.1500000000000003E-2</v>
      </c>
      <c r="D7" s="485"/>
      <c r="E7" s="485"/>
      <c r="F7" s="485"/>
      <c r="G7" s="485"/>
      <c r="H7" s="485"/>
      <c r="I7" s="486"/>
      <c r="J7" s="486"/>
      <c r="K7" s="486"/>
      <c r="L7" s="485"/>
      <c r="M7" s="485"/>
      <c r="N7" s="17"/>
      <c r="R7" t="s">
        <v>34</v>
      </c>
      <c r="S7" s="85">
        <v>1.9900000000000001E-2</v>
      </c>
      <c r="T7" s="48">
        <v>3.4315607700130007E-2</v>
      </c>
      <c r="AB7">
        <v>21.172989740996279</v>
      </c>
      <c r="AC7">
        <v>19.631757423357364</v>
      </c>
    </row>
    <row r="8" spans="1:29" ht="15.75" thickBot="1">
      <c r="A8" t="s">
        <v>35</v>
      </c>
      <c r="B8" s="487"/>
      <c r="C8" s="487"/>
      <c r="D8" s="488"/>
      <c r="E8" s="487"/>
      <c r="F8" s="488"/>
      <c r="G8" s="488"/>
      <c r="H8" s="488"/>
      <c r="I8" s="488"/>
      <c r="J8" s="488"/>
      <c r="K8" s="488"/>
      <c r="L8" s="488"/>
      <c r="M8" s="488"/>
      <c r="N8" s="19"/>
      <c r="R8" t="s">
        <v>35</v>
      </c>
      <c r="S8" s="86">
        <v>2.0899999999999998E-2</v>
      </c>
      <c r="T8" s="49">
        <v>3.1480377792476331E-2</v>
      </c>
      <c r="AB8">
        <v>4.8063294382943829E-2</v>
      </c>
      <c r="AC8">
        <v>5.1126792543021035E-2</v>
      </c>
    </row>
    <row r="9" spans="1:29">
      <c r="AB9">
        <v>371.52515686788274</v>
      </c>
      <c r="AC9">
        <v>490.71907083241007</v>
      </c>
    </row>
    <row r="10" spans="1:29">
      <c r="AB10">
        <v>17.022187033815278</v>
      </c>
      <c r="AC10">
        <v>21.356821035526995</v>
      </c>
    </row>
    <row r="11" spans="1:29" ht="13.5" thickBot="1">
      <c r="AB11">
        <v>4.5817050929524268E-2</v>
      </c>
      <c r="AC11">
        <v>4.3521481647940188E-2</v>
      </c>
    </row>
    <row r="12" spans="1:29" ht="13.5" thickBot="1">
      <c r="A12" s="50" t="s">
        <v>36</v>
      </c>
      <c r="B12" s="51" t="s">
        <v>37</v>
      </c>
      <c r="C12" s="51" t="s">
        <v>38</v>
      </c>
      <c r="D12" s="51" t="s">
        <v>39</v>
      </c>
      <c r="E12" s="51" t="s">
        <v>40</v>
      </c>
      <c r="F12" s="51" t="s">
        <v>41</v>
      </c>
      <c r="G12" s="51" t="s">
        <v>42</v>
      </c>
      <c r="H12" s="51" t="s">
        <v>43</v>
      </c>
      <c r="I12" s="51" t="s">
        <v>44</v>
      </c>
      <c r="J12" s="51" t="s">
        <v>45</v>
      </c>
      <c r="K12" s="51" t="s">
        <v>46</v>
      </c>
      <c r="L12" s="51" t="s">
        <v>47</v>
      </c>
      <c r="M12" s="51" t="s">
        <v>48</v>
      </c>
      <c r="N12" s="51" t="s">
        <v>49</v>
      </c>
      <c r="O12" s="52" t="s">
        <v>50</v>
      </c>
      <c r="AB12">
        <v>630.1909378237475</v>
      </c>
      <c r="AC12">
        <v>649.36118484244446</v>
      </c>
    </row>
    <row r="13" spans="1:29">
      <c r="A13" s="53"/>
      <c r="B13" s="54"/>
      <c r="C13" s="55"/>
      <c r="D13" s="55"/>
      <c r="E13" s="55"/>
      <c r="F13" s="55"/>
      <c r="G13" s="55"/>
      <c r="H13" s="55"/>
      <c r="I13" s="55"/>
      <c r="J13" s="56"/>
      <c r="K13" s="56"/>
      <c r="L13" s="56"/>
      <c r="M13" s="56"/>
      <c r="N13" s="56"/>
      <c r="O13" s="56"/>
      <c r="AB13">
        <v>30.557679881511593</v>
      </c>
      <c r="AC13">
        <v>28.719725685012857</v>
      </c>
    </row>
    <row r="14" spans="1:29" ht="14.25">
      <c r="A14" s="15" t="s">
        <v>51</v>
      </c>
      <c r="B14" s="14" t="s">
        <v>52</v>
      </c>
      <c r="C14" s="217">
        <v>325.84281973463641</v>
      </c>
      <c r="D14" s="160">
        <v>467.31806859023266</v>
      </c>
      <c r="E14" s="161">
        <v>452.9027050330676</v>
      </c>
      <c r="F14" s="161">
        <v>447.20776396118021</v>
      </c>
      <c r="G14" s="161">
        <v>434.72835944442414</v>
      </c>
      <c r="H14" s="161">
        <v>469.92104524868745</v>
      </c>
      <c r="I14" s="161">
        <v>484.59232679896832</v>
      </c>
      <c r="J14" s="461">
        <v>433.8</v>
      </c>
      <c r="K14" s="461">
        <v>521.08000000000004</v>
      </c>
      <c r="L14" s="282">
        <v>433.87</v>
      </c>
      <c r="M14" s="282">
        <v>430.12</v>
      </c>
      <c r="N14" s="479">
        <v>393.67</v>
      </c>
      <c r="O14" s="462">
        <v>436.330068303595</v>
      </c>
      <c r="R14" s="16"/>
      <c r="S14" s="16"/>
      <c r="T14" s="57"/>
      <c r="AB14">
        <v>4.848955776329808E-2</v>
      </c>
      <c r="AC14">
        <v>4.4227659976290655E-2</v>
      </c>
    </row>
    <row r="15" spans="1:29" ht="14.25">
      <c r="A15" s="15"/>
      <c r="B15" s="14" t="s">
        <v>53</v>
      </c>
      <c r="C15" s="218">
        <v>17.343953720239725</v>
      </c>
      <c r="D15" s="162">
        <v>23.565147852303959</v>
      </c>
      <c r="E15" s="163">
        <v>24.72926278905512</v>
      </c>
      <c r="F15" s="163">
        <v>28.008615956920217</v>
      </c>
      <c r="G15" s="163">
        <v>27.622655175352104</v>
      </c>
      <c r="H15" s="163">
        <v>24.01835998557172</v>
      </c>
      <c r="I15" s="163">
        <v>23.091345360087175</v>
      </c>
      <c r="J15" s="464">
        <v>21.3</v>
      </c>
      <c r="K15" s="461">
        <v>24.5</v>
      </c>
      <c r="L15" s="283">
        <v>34.229999999999997</v>
      </c>
      <c r="M15" s="283">
        <v>33.75</v>
      </c>
      <c r="N15" s="479">
        <v>35.32</v>
      </c>
      <c r="O15" s="465">
        <v>25.880313620627557</v>
      </c>
      <c r="R15" s="17"/>
      <c r="S15" s="17"/>
      <c r="T15" s="58"/>
      <c r="AB15">
        <v>414.35647730058184</v>
      </c>
      <c r="AC15">
        <v>516.13490234985022</v>
      </c>
    </row>
    <row r="16" spans="1:29" ht="15" thickBot="1">
      <c r="A16" s="15"/>
      <c r="B16" s="59" t="s">
        <v>54</v>
      </c>
      <c r="C16" s="219">
        <v>5.3227975790181577E-2</v>
      </c>
      <c r="D16" s="164">
        <v>5.042635719905586E-2</v>
      </c>
      <c r="E16" s="165">
        <v>5.4601711392405064E-2</v>
      </c>
      <c r="F16" s="165">
        <v>6.2629985912658503E-2</v>
      </c>
      <c r="G16" s="165">
        <v>6.3540035001750081E-2</v>
      </c>
      <c r="H16" s="165">
        <v>5.1111479744136462E-2</v>
      </c>
      <c r="I16" s="165">
        <v>4.7651075105996366E-2</v>
      </c>
      <c r="J16" s="456">
        <v>4.9200000000000001E-2</v>
      </c>
      <c r="K16" s="467">
        <v>4.7E-2</v>
      </c>
      <c r="L16" s="48">
        <v>7.9799999999999996E-2</v>
      </c>
      <c r="M16" s="48">
        <v>7.85E-2</v>
      </c>
      <c r="N16" s="458">
        <v>8.9700000000000002E-2</v>
      </c>
      <c r="O16" s="468">
        <v>5.9313614854111407E-2</v>
      </c>
      <c r="R16" s="60">
        <v>4.6937144655663544E-2</v>
      </c>
      <c r="S16" s="60">
        <v>4.9261466084764241E-2</v>
      </c>
      <c r="T16" s="61">
        <v>4.1252263731267523E-2</v>
      </c>
      <c r="AB16">
        <v>16.362236012023789</v>
      </c>
      <c r="AC16">
        <v>19.725485733708133</v>
      </c>
    </row>
    <row r="17" spans="1:29" ht="15" thickBot="1">
      <c r="A17" s="222" t="s">
        <v>55</v>
      </c>
      <c r="B17" s="223" t="s">
        <v>52</v>
      </c>
      <c r="C17" s="220">
        <v>365.32775884665796</v>
      </c>
      <c r="D17" s="166">
        <v>449.81708457536968</v>
      </c>
      <c r="E17" s="167">
        <v>377.80063671914166</v>
      </c>
      <c r="F17" s="167">
        <v>386.28840449189778</v>
      </c>
      <c r="G17" s="167">
        <v>382.26421512638427</v>
      </c>
      <c r="H17" s="167">
        <v>360.69068749011637</v>
      </c>
      <c r="I17" s="167">
        <v>359.43138729002703</v>
      </c>
      <c r="J17" s="461">
        <v>378.9</v>
      </c>
      <c r="K17" s="461">
        <v>364.86</v>
      </c>
      <c r="L17" s="284">
        <v>364.67</v>
      </c>
      <c r="M17" s="284">
        <v>389.8</v>
      </c>
      <c r="N17" s="480">
        <v>372.94</v>
      </c>
      <c r="O17" s="462">
        <v>390.85858560383667</v>
      </c>
      <c r="R17" s="62">
        <v>3.6825906969522072E-2</v>
      </c>
      <c r="S17" s="62"/>
      <c r="T17" s="63">
        <v>2.8790353792687937E-2</v>
      </c>
      <c r="AB17">
        <v>3.9488307552519135E-2</v>
      </c>
      <c r="AC17">
        <v>3.8217693947652592E-2</v>
      </c>
    </row>
    <row r="18" spans="1:29" ht="14.25">
      <c r="A18" s="15"/>
      <c r="B18" s="14" t="s">
        <v>53</v>
      </c>
      <c r="C18" s="218">
        <v>16.605504587155963</v>
      </c>
      <c r="D18" s="162">
        <v>17.882401075457363</v>
      </c>
      <c r="E18" s="163">
        <v>17.790534442996091</v>
      </c>
      <c r="F18" s="163">
        <v>17.953926354387928</v>
      </c>
      <c r="G18" s="163">
        <v>18.217708695436261</v>
      </c>
      <c r="H18" s="163">
        <v>18.582253483936366</v>
      </c>
      <c r="I18" s="163">
        <v>18.158111124163046</v>
      </c>
      <c r="J18" s="464">
        <v>18.899999999999999</v>
      </c>
      <c r="K18" s="461">
        <v>18.399999999999999</v>
      </c>
      <c r="L18" s="283">
        <v>28.45</v>
      </c>
      <c r="M18" s="283">
        <v>29.68</v>
      </c>
      <c r="N18" s="479">
        <v>29.3</v>
      </c>
      <c r="O18" s="465">
        <v>17.69345717943451</v>
      </c>
      <c r="R18" s="60">
        <v>0</v>
      </c>
      <c r="S18" s="60"/>
      <c r="T18" s="61">
        <v>5.257760889984877E-2</v>
      </c>
      <c r="AB18">
        <v>939.74595346453134</v>
      </c>
      <c r="AC18">
        <v>952.00932020158666</v>
      </c>
    </row>
    <row r="19" spans="1:29" ht="15" thickBot="1">
      <c r="A19" s="20"/>
      <c r="B19" s="21" t="s">
        <v>54</v>
      </c>
      <c r="C19" s="219">
        <v>4.5453717066503918E-2</v>
      </c>
      <c r="D19" s="164">
        <v>3.9754828548449792E-2</v>
      </c>
      <c r="E19" s="165">
        <v>4.7089741821217827E-2</v>
      </c>
      <c r="F19" s="165">
        <v>4.647803595866027E-2</v>
      </c>
      <c r="G19" s="165">
        <v>4.7657374074141674E-2</v>
      </c>
      <c r="H19" s="165">
        <v>5.1518528557645549E-2</v>
      </c>
      <c r="I19" s="165">
        <v>5.05189912908501E-2</v>
      </c>
      <c r="J19" s="457">
        <v>0.05</v>
      </c>
      <c r="K19" s="470">
        <v>5.04E-2</v>
      </c>
      <c r="L19" s="48">
        <v>7.8E-2</v>
      </c>
      <c r="M19" s="48">
        <v>7.6100000000000001E-2</v>
      </c>
      <c r="N19" s="458">
        <v>7.8600000000000003E-2</v>
      </c>
      <c r="O19" s="471">
        <v>4.5268180951174256E-2</v>
      </c>
      <c r="R19" s="62">
        <v>3.1076648762799489E-2</v>
      </c>
      <c r="S19" s="62"/>
      <c r="T19" s="63">
        <v>2.7067259027393029E-2</v>
      </c>
      <c r="AB19">
        <v>32.50455916006262</v>
      </c>
      <c r="AC19">
        <v>32.200680434333314</v>
      </c>
    </row>
    <row r="20" spans="1:29" ht="14.25">
      <c r="A20" s="15" t="s">
        <v>56</v>
      </c>
      <c r="B20" s="14" t="s">
        <v>52</v>
      </c>
      <c r="C20" s="220">
        <v>657.03187806461858</v>
      </c>
      <c r="D20" s="166">
        <v>602.30626319324244</v>
      </c>
      <c r="E20" s="167">
        <v>604.27737395428596</v>
      </c>
      <c r="F20" s="167">
        <v>640.76955629223062</v>
      </c>
      <c r="G20" s="167">
        <v>637.19531456391292</v>
      </c>
      <c r="H20" s="167">
        <v>689.13609872348457</v>
      </c>
      <c r="I20" s="167">
        <v>603.73780909734432</v>
      </c>
      <c r="J20" s="461">
        <v>597.25</v>
      </c>
      <c r="K20" s="461">
        <v>600.70000000000005</v>
      </c>
      <c r="L20" s="284">
        <v>494.58</v>
      </c>
      <c r="M20" s="284">
        <v>477.31</v>
      </c>
      <c r="N20" s="480">
        <v>498.97</v>
      </c>
      <c r="O20" s="462">
        <v>626.7348628616021</v>
      </c>
      <c r="R20" s="60">
        <v>0</v>
      </c>
      <c r="S20" s="60"/>
      <c r="T20" s="61">
        <v>2.3895381087459873E-2</v>
      </c>
      <c r="AB20">
        <v>3.4588666266908735E-2</v>
      </c>
      <c r="AC20">
        <v>3.3823913013283177E-2</v>
      </c>
    </row>
    <row r="21" spans="1:29" ht="15" thickBot="1">
      <c r="A21" s="15"/>
      <c r="B21" s="14" t="s">
        <v>53</v>
      </c>
      <c r="C21" s="218">
        <v>30.846867406459065</v>
      </c>
      <c r="D21" s="162">
        <v>26.873219678410344</v>
      </c>
      <c r="E21" s="163">
        <v>24.291965671999197</v>
      </c>
      <c r="F21" s="163">
        <v>28.847355179941051</v>
      </c>
      <c r="G21" s="163">
        <v>33.487281579046687</v>
      </c>
      <c r="H21" s="163">
        <v>34.854512635379066</v>
      </c>
      <c r="I21" s="163">
        <v>29.567561978541146</v>
      </c>
      <c r="J21" s="463">
        <v>30.9</v>
      </c>
      <c r="K21" s="461">
        <v>30.2</v>
      </c>
      <c r="L21" s="283">
        <v>29.1</v>
      </c>
      <c r="M21" s="283">
        <v>27.28</v>
      </c>
      <c r="N21" s="479">
        <v>28.4</v>
      </c>
      <c r="O21" s="465">
        <v>28.636148438245218</v>
      </c>
      <c r="R21" s="62">
        <v>0</v>
      </c>
      <c r="S21" s="62"/>
      <c r="T21" s="65">
        <v>2.0544791351378225E-2</v>
      </c>
      <c r="AB21">
        <v>1158.9099497934856</v>
      </c>
      <c r="AC21">
        <v>1318.4824209682185</v>
      </c>
    </row>
    <row r="22" spans="1:29" ht="15" thickBot="1">
      <c r="A22" s="15"/>
      <c r="B22" s="59" t="s">
        <v>54</v>
      </c>
      <c r="C22" s="219">
        <v>4.6948813956063942E-2</v>
      </c>
      <c r="D22" s="164">
        <v>4.4617201116151112E-2</v>
      </c>
      <c r="E22" s="165">
        <v>4.0200025218612441E-2</v>
      </c>
      <c r="F22" s="165">
        <v>4.5019859162573686E-2</v>
      </c>
      <c r="G22" s="165">
        <v>5.2554186783317587E-2</v>
      </c>
      <c r="H22" s="165">
        <v>5.05771105300412E-2</v>
      </c>
      <c r="I22" s="165">
        <v>4.8974176427260652E-2</v>
      </c>
      <c r="J22" s="466">
        <v>6.1800000000000001E-2</v>
      </c>
      <c r="K22" s="467">
        <v>5.0299999999999997E-2</v>
      </c>
      <c r="L22" s="48">
        <v>6.08E-2</v>
      </c>
      <c r="M22" s="48">
        <v>5.7200000000000001E-2</v>
      </c>
      <c r="N22" s="459">
        <v>5.6899999999999999E-2</v>
      </c>
      <c r="O22" s="468">
        <v>4.5691009285004081E-2</v>
      </c>
      <c r="R22" s="22">
        <v>2.1132904438110035E-2</v>
      </c>
      <c r="S22" s="22">
        <v>4.9261466084764241E-2</v>
      </c>
      <c r="T22" s="68">
        <v>2.8891645692187742E-2</v>
      </c>
      <c r="AB22">
        <v>60.059122498948881</v>
      </c>
      <c r="AC22">
        <v>58.691878051182485</v>
      </c>
    </row>
    <row r="23" spans="1:29" ht="14.25">
      <c r="A23" s="222" t="s">
        <v>57</v>
      </c>
      <c r="B23" s="223" t="s">
        <v>52</v>
      </c>
      <c r="C23" s="220">
        <v>417.6725970923132</v>
      </c>
      <c r="D23" s="166">
        <v>401.05710657384333</v>
      </c>
      <c r="E23" s="167">
        <v>357.7502105613259</v>
      </c>
      <c r="F23" s="167">
        <v>404.13783230222771</v>
      </c>
      <c r="G23" s="167">
        <v>472.32662823756488</v>
      </c>
      <c r="H23" s="167">
        <v>482.88080849943015</v>
      </c>
      <c r="I23" s="167">
        <v>471.81116671609334</v>
      </c>
      <c r="J23" s="461">
        <v>471.48</v>
      </c>
      <c r="K23" s="472"/>
      <c r="L23" s="284">
        <v>494.58</v>
      </c>
      <c r="M23" s="481">
        <v>491.54</v>
      </c>
      <c r="N23" s="480">
        <v>475.26</v>
      </c>
      <c r="O23" s="462">
        <v>414.01291746555768</v>
      </c>
      <c r="R23" s="16"/>
      <c r="S23" s="16"/>
      <c r="T23" s="57"/>
      <c r="AB23">
        <v>5.1823804351365903E-2</v>
      </c>
      <c r="AC23">
        <v>4.4514721711710434E-2</v>
      </c>
    </row>
    <row r="24" spans="1:29" ht="14.25">
      <c r="A24" s="15"/>
      <c r="B24" s="14" t="s">
        <v>53</v>
      </c>
      <c r="C24" s="218">
        <v>15.77415059989575</v>
      </c>
      <c r="D24" s="162">
        <v>15.713718257065763</v>
      </c>
      <c r="E24" s="163">
        <v>14.710716040884474</v>
      </c>
      <c r="F24" s="163">
        <v>17.875925092709277</v>
      </c>
      <c r="G24" s="163">
        <v>21.586878896163174</v>
      </c>
      <c r="H24" s="163">
        <v>22.403715442354095</v>
      </c>
      <c r="I24" s="163">
        <v>21.974527975484381</v>
      </c>
      <c r="J24" s="463">
        <v>21.2</v>
      </c>
      <c r="K24" s="472"/>
      <c r="L24" s="283">
        <v>32.44</v>
      </c>
      <c r="M24" s="482">
        <v>33.07</v>
      </c>
      <c r="N24" s="483">
        <v>31.39</v>
      </c>
      <c r="O24" s="465">
        <v>17.395891405904251</v>
      </c>
      <c r="R24" s="17"/>
      <c r="S24" s="17"/>
      <c r="T24" s="58"/>
      <c r="AB24">
        <v>532.89522261797731</v>
      </c>
      <c r="AC24">
        <v>615.2158301910564</v>
      </c>
    </row>
    <row r="25" spans="1:29" ht="15" thickBot="1">
      <c r="A25" s="20"/>
      <c r="B25" s="21" t="s">
        <v>54</v>
      </c>
      <c r="C25" s="219">
        <v>3.7766783623607893E-2</v>
      </c>
      <c r="D25" s="164">
        <v>3.9180750071492687E-2</v>
      </c>
      <c r="E25" s="165">
        <v>4.1120076541122673E-2</v>
      </c>
      <c r="F25" s="165">
        <v>4.4232248663473465E-2</v>
      </c>
      <c r="G25" s="165">
        <v>4.5703285831485412E-2</v>
      </c>
      <c r="H25" s="165">
        <v>4.6395953303620542E-2</v>
      </c>
      <c r="I25" s="165">
        <v>4.6574836556819536E-2</v>
      </c>
      <c r="J25" s="469">
        <v>4.4900000000000002E-2</v>
      </c>
      <c r="K25" s="470"/>
      <c r="L25" s="48">
        <v>6.5600000000000006E-2</v>
      </c>
      <c r="M25" s="330">
        <v>6.7299999999999999E-2</v>
      </c>
      <c r="N25" s="460">
        <v>6.6100000000000006E-2</v>
      </c>
      <c r="O25" s="471">
        <v>4.2017750345558817E-2</v>
      </c>
      <c r="AB25">
        <v>22.559735294960653</v>
      </c>
      <c r="AC25">
        <v>24.68289885115556</v>
      </c>
    </row>
    <row r="26" spans="1:29" ht="14.25">
      <c r="A26" s="15" t="s">
        <v>58</v>
      </c>
      <c r="B26" s="14" t="s">
        <v>52</v>
      </c>
      <c r="C26" s="220">
        <v>911.72112886772709</v>
      </c>
      <c r="D26" s="166">
        <v>900.27336251679219</v>
      </c>
      <c r="E26" s="167">
        <v>913.26540418315437</v>
      </c>
      <c r="F26" s="167">
        <v>854.93001226361207</v>
      </c>
      <c r="G26" s="167">
        <v>829.2858305288272</v>
      </c>
      <c r="H26" s="167">
        <v>884.06009080992942</v>
      </c>
      <c r="I26" s="167">
        <v>935.66319672982991</v>
      </c>
      <c r="J26" s="461">
        <v>930.01</v>
      </c>
      <c r="K26" s="461">
        <v>878.41</v>
      </c>
      <c r="L26" s="284">
        <v>714.29</v>
      </c>
      <c r="M26" s="284">
        <v>693.35</v>
      </c>
      <c r="N26" s="480">
        <v>704.4</v>
      </c>
      <c r="O26" s="462">
        <v>882.19141226585475</v>
      </c>
      <c r="R26" s="16"/>
      <c r="S26" s="16"/>
      <c r="T26" s="57"/>
      <c r="AB26">
        <v>4.23342794933129E-2</v>
      </c>
      <c r="AC26">
        <v>4.0120714779868782E-2</v>
      </c>
    </row>
    <row r="27" spans="1:29" ht="14.25">
      <c r="A27" s="15" t="s">
        <v>186</v>
      </c>
      <c r="B27" s="14" t="s">
        <v>53</v>
      </c>
      <c r="C27" s="218">
        <v>29.330859250454623</v>
      </c>
      <c r="D27" s="162">
        <v>29.637862129142029</v>
      </c>
      <c r="E27" s="163">
        <v>31.024903457810893</v>
      </c>
      <c r="F27" s="163">
        <v>29.981083162082076</v>
      </c>
      <c r="G27" s="163">
        <v>30.191338420944525</v>
      </c>
      <c r="H27" s="163">
        <v>33.618546588211316</v>
      </c>
      <c r="I27" s="163">
        <v>34.762774101915682</v>
      </c>
      <c r="J27" s="463">
        <v>34.299999999999997</v>
      </c>
      <c r="K27" s="472">
        <v>33.9</v>
      </c>
      <c r="L27" s="283">
        <v>39.299999999999997</v>
      </c>
      <c r="M27" s="283">
        <v>35.54</v>
      </c>
      <c r="N27" s="479">
        <v>44.81</v>
      </c>
      <c r="O27" s="465">
        <v>30.048869395287486</v>
      </c>
      <c r="R27" s="17"/>
      <c r="S27" s="17"/>
      <c r="T27" s="58"/>
    </row>
    <row r="28" spans="1:29" ht="15" thickBot="1">
      <c r="A28" s="15"/>
      <c r="B28" s="59" t="s">
        <v>54</v>
      </c>
      <c r="C28" s="219">
        <v>3.2170867079586961E-2</v>
      </c>
      <c r="D28" s="164">
        <v>3.2920958636704321E-2</v>
      </c>
      <c r="E28" s="165">
        <v>3.3971399021251972E-2</v>
      </c>
      <c r="F28" s="165">
        <v>3.5068464941008064E-2</v>
      </c>
      <c r="G28" s="165">
        <v>3.6406432269187348E-2</v>
      </c>
      <c r="H28" s="165">
        <v>3.802744512243706E-2</v>
      </c>
      <c r="I28" s="165">
        <v>3.7153084810231489E-2</v>
      </c>
      <c r="J28" s="466">
        <v>3.6900000000000002E-2</v>
      </c>
      <c r="K28" s="467">
        <v>3.8600000000000002E-2</v>
      </c>
      <c r="L28" s="168">
        <v>5.5E-2</v>
      </c>
      <c r="M28" s="48">
        <v>5.1299999999999998E-2</v>
      </c>
      <c r="N28" s="458">
        <v>6.3600000000000004E-2</v>
      </c>
      <c r="O28" s="468">
        <v>3.4061620842702152E-2</v>
      </c>
    </row>
    <row r="29" spans="1:29" ht="14.25">
      <c r="A29" s="222" t="s">
        <v>59</v>
      </c>
      <c r="B29" s="223" t="s">
        <v>52</v>
      </c>
      <c r="C29" s="220">
        <v>1080.8287621319023</v>
      </c>
      <c r="D29" s="166">
        <v>1161.0344095404305</v>
      </c>
      <c r="E29" s="167">
        <v>1035.671618852459</v>
      </c>
      <c r="F29" s="167">
        <v>1090.2507539159712</v>
      </c>
      <c r="G29" s="167">
        <v>1022.4422933434146</v>
      </c>
      <c r="H29" s="167">
        <v>1028.5684936605217</v>
      </c>
      <c r="I29" s="167">
        <v>1119.4028278183371</v>
      </c>
      <c r="J29" s="461">
        <v>1053.1099999999999</v>
      </c>
      <c r="K29" s="461">
        <v>1086.1099999999999</v>
      </c>
      <c r="L29" s="284">
        <v>978.23</v>
      </c>
      <c r="M29" s="284">
        <v>993.99</v>
      </c>
      <c r="N29" s="480">
        <v>972.05</v>
      </c>
      <c r="O29" s="462">
        <v>1065.6871733203536</v>
      </c>
      <c r="R29" s="16"/>
      <c r="S29" s="16"/>
      <c r="T29" s="57"/>
    </row>
    <row r="30" spans="1:29" ht="14.25">
      <c r="A30" s="15"/>
      <c r="B30" s="14" t="s">
        <v>53</v>
      </c>
      <c r="C30" s="218">
        <v>51.98655139289145</v>
      </c>
      <c r="D30" s="162">
        <v>57.588132635253054</v>
      </c>
      <c r="E30" s="163">
        <v>52.4030974148802</v>
      </c>
      <c r="F30" s="163">
        <v>59.815283267457183</v>
      </c>
      <c r="G30" s="163">
        <v>57.633315757533552</v>
      </c>
      <c r="H30" s="163">
        <v>57.188621194452026</v>
      </c>
      <c r="I30" s="163">
        <v>61.135844315919222</v>
      </c>
      <c r="J30" s="463">
        <v>58.1</v>
      </c>
      <c r="K30" s="461">
        <v>60.8</v>
      </c>
      <c r="L30" s="283">
        <v>71.14</v>
      </c>
      <c r="M30" s="283">
        <v>78.760000000000005</v>
      </c>
      <c r="N30" s="479">
        <v>70.3</v>
      </c>
      <c r="O30" s="473">
        <v>56.173457149492421</v>
      </c>
      <c r="R30" s="17"/>
      <c r="S30" s="17"/>
      <c r="T30" s="64"/>
    </row>
    <row r="31" spans="1:29" ht="15" thickBot="1">
      <c r="A31" s="20"/>
      <c r="B31" s="21" t="s">
        <v>54</v>
      </c>
      <c r="C31" s="219">
        <v>4.8098786055942422E-2</v>
      </c>
      <c r="D31" s="164">
        <v>4.9600711367415916E-2</v>
      </c>
      <c r="E31" s="165">
        <v>5.0598178477598607E-2</v>
      </c>
      <c r="F31" s="165">
        <v>5.4863785282983912E-2</v>
      </c>
      <c r="G31" s="165">
        <v>5.6368282232409438E-2</v>
      </c>
      <c r="H31" s="165">
        <v>5.5600207032325356E-2</v>
      </c>
      <c r="I31" s="165">
        <v>5.4614695261285054E-2</v>
      </c>
      <c r="J31" s="469">
        <v>5.5199999999999999E-2</v>
      </c>
      <c r="K31" s="470">
        <v>5.6000000000000001E-2</v>
      </c>
      <c r="L31" s="48">
        <v>7.2700000000000001E-2</v>
      </c>
      <c r="M31" s="48">
        <v>7.9200000000000007E-2</v>
      </c>
      <c r="N31" s="458">
        <v>7.2300000000000003E-2</v>
      </c>
      <c r="O31" s="474">
        <v>5.2711019289528649E-2</v>
      </c>
    </row>
    <row r="32" spans="1:29" ht="14.25">
      <c r="A32" s="15" t="s">
        <v>60</v>
      </c>
      <c r="B32" s="14" t="s">
        <v>52</v>
      </c>
      <c r="C32" s="220">
        <v>523.75775267782763</v>
      </c>
      <c r="D32" s="166">
        <v>553.98324214082049</v>
      </c>
      <c r="E32" s="167">
        <v>510.06354569898497</v>
      </c>
      <c r="F32" s="167">
        <v>521.42810731419547</v>
      </c>
      <c r="G32" s="167">
        <v>530.81768886777661</v>
      </c>
      <c r="H32" s="167">
        <v>544.87255602895232</v>
      </c>
      <c r="I32" s="167">
        <v>551.94894091704782</v>
      </c>
      <c r="J32" s="475">
        <v>547.55999999999995</v>
      </c>
      <c r="K32" s="475">
        <v>600.51</v>
      </c>
      <c r="L32" s="284">
        <f>AVERAGE(L14,L17,L20,L23,L26,L29)</f>
        <v>580.03666666666663</v>
      </c>
      <c r="M32" s="475">
        <v>579.35166666666657</v>
      </c>
      <c r="N32" s="475">
        <v>569.54833333333329</v>
      </c>
      <c r="O32" s="462">
        <v>527.05383778617784</v>
      </c>
      <c r="R32" s="18"/>
      <c r="S32" s="18"/>
      <c r="T32" s="66"/>
    </row>
    <row r="33" spans="1:20" ht="14.25">
      <c r="A33" s="15"/>
      <c r="B33" s="14" t="s">
        <v>53</v>
      </c>
      <c r="C33" s="218">
        <v>20.725857813224565</v>
      </c>
      <c r="D33" s="162">
        <v>21.605065756481796</v>
      </c>
      <c r="E33" s="163">
        <v>21.410430768105392</v>
      </c>
      <c r="F33" s="163">
        <v>23.861458403384802</v>
      </c>
      <c r="G33" s="163">
        <v>25.514455877432916</v>
      </c>
      <c r="H33" s="163">
        <v>25.4556022963354</v>
      </c>
      <c r="I33" s="163">
        <v>25.279408891352286</v>
      </c>
      <c r="J33" s="476">
        <v>24.9</v>
      </c>
      <c r="K33" s="475">
        <v>27.63</v>
      </c>
      <c r="L33" s="283">
        <f>AVERAGE(L15,L18,L21,L24,L27,L30)</f>
        <v>39.109999999999992</v>
      </c>
      <c r="M33" s="476">
        <v>39.68</v>
      </c>
      <c r="N33" s="476">
        <v>39.92</v>
      </c>
      <c r="O33" s="465">
        <v>22.810865588259489</v>
      </c>
      <c r="R33" s="19"/>
      <c r="S33" s="19"/>
      <c r="T33" s="67"/>
    </row>
    <row r="34" spans="1:20" ht="15" thickBot="1">
      <c r="A34" s="20"/>
      <c r="B34" s="21" t="s">
        <v>54</v>
      </c>
      <c r="C34" s="219">
        <v>3.9571457810904036E-2</v>
      </c>
      <c r="D34" s="164">
        <v>3.8999493329420723E-2</v>
      </c>
      <c r="E34" s="165">
        <v>4.197600661455779E-2</v>
      </c>
      <c r="F34" s="165">
        <v>4.5761741779306635E-2</v>
      </c>
      <c r="G34" s="165">
        <v>4.8066325618979909E-2</v>
      </c>
      <c r="H34" s="165">
        <v>4.6718451892414248E-2</v>
      </c>
      <c r="I34" s="165">
        <v>4.5800267048889072E-2</v>
      </c>
      <c r="J34" s="477">
        <v>4.5499999999999999E-2</v>
      </c>
      <c r="K34" s="478">
        <v>4.5999999999999999E-2</v>
      </c>
      <c r="L34" s="48">
        <f>AVERAGE(L16,L19,L22,L25,L28,L31)</f>
        <v>6.8650000000000003E-2</v>
      </c>
      <c r="M34" s="477">
        <v>6.826666666666667E-2</v>
      </c>
      <c r="N34" s="477">
        <v>7.1199999999999999E-2</v>
      </c>
      <c r="O34" s="471">
        <v>4.327995349407493E-2</v>
      </c>
    </row>
    <row r="35" spans="1:20">
      <c r="A35" s="69" t="s">
        <v>61</v>
      </c>
      <c r="B35" s="70"/>
      <c r="C35" s="71"/>
      <c r="D35" s="71"/>
      <c r="E35" s="71"/>
      <c r="F35" s="71"/>
      <c r="G35" s="56"/>
      <c r="H35" s="56"/>
      <c r="I35" s="56"/>
      <c r="J35" s="56"/>
      <c r="K35" s="56"/>
      <c r="L35" s="56"/>
      <c r="M35" s="56"/>
      <c r="N35" s="56"/>
      <c r="O35" s="56"/>
    </row>
    <row r="36" spans="1:20">
      <c r="A36" s="72"/>
      <c r="B36" s="54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</row>
    <row r="37" spans="1:20">
      <c r="A37" s="73" t="s">
        <v>62</v>
      </c>
      <c r="B37" s="54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</row>
    <row r="39" spans="1:20">
      <c r="C39">
        <v>420.46416567228079</v>
      </c>
      <c r="D39">
        <v>375.65290876289134</v>
      </c>
    </row>
    <row r="41" spans="1:20">
      <c r="C41">
        <v>15.640171975624641</v>
      </c>
      <c r="D41">
        <v>0</v>
      </c>
    </row>
    <row r="42" spans="1:20">
      <c r="C42">
        <v>3.7197395765267052E-2</v>
      </c>
      <c r="D42">
        <v>0</v>
      </c>
    </row>
    <row r="45" spans="1:20">
      <c r="C45">
        <v>475.14902317128576</v>
      </c>
      <c r="D45">
        <v>450.96209020199512</v>
      </c>
    </row>
    <row r="47" spans="1:20">
      <c r="C47">
        <v>11.203998182644252</v>
      </c>
      <c r="D47">
        <v>11.940442487548541</v>
      </c>
    </row>
    <row r="48" spans="1:20">
      <c r="C48">
        <v>2.3579966781506652E-2</v>
      </c>
      <c r="D48">
        <v>2.6641933624516115E-2</v>
      </c>
    </row>
    <row r="51" spans="3:4">
      <c r="C51">
        <v>606.16146003605172</v>
      </c>
      <c r="D51">
        <v>663.28181497249989</v>
      </c>
    </row>
    <row r="53" spans="3:4">
      <c r="C53">
        <v>36.17146423094777</v>
      </c>
      <c r="D53">
        <v>45.352740443567598</v>
      </c>
    </row>
    <row r="54" spans="3:4">
      <c r="C54">
        <v>5.9672985855610906E-2</v>
      </c>
      <c r="D54">
        <v>6.8376275995819288E-2</v>
      </c>
    </row>
    <row r="57" spans="3:4">
      <c r="C57">
        <v>417.04818554811624</v>
      </c>
      <c r="D57">
        <v>489.88634224347248</v>
      </c>
    </row>
    <row r="59" spans="3:4">
      <c r="C59">
        <v>10.798483050893228</v>
      </c>
      <c r="D59">
        <v>13.177293585341591</v>
      </c>
    </row>
    <row r="60" spans="3:4">
      <c r="C60">
        <v>2.5892650837698875E-2</v>
      </c>
      <c r="D60">
        <v>2.6898675160028248E-2</v>
      </c>
    </row>
    <row r="63" spans="3:4">
      <c r="C63">
        <v>611.98291618214535</v>
      </c>
      <c r="D63">
        <v>668.26841688943375</v>
      </c>
    </row>
    <row r="65" spans="3:4">
      <c r="C65">
        <v>15.219344315362605</v>
      </c>
      <c r="D65">
        <v>17.722653178528329</v>
      </c>
    </row>
    <row r="66" spans="3:4">
      <c r="C66">
        <v>2.4868903874487976E-2</v>
      </c>
      <c r="D66">
        <v>2.65202615156068E-2</v>
      </c>
    </row>
    <row r="74" spans="3:4">
      <c r="C74">
        <v>1322073.67</v>
      </c>
      <c r="D74">
        <v>1681245.7</v>
      </c>
    </row>
    <row r="75" spans="3:4">
      <c r="C75">
        <v>628382650.00440001</v>
      </c>
      <c r="D75">
        <v>842318730.6329999</v>
      </c>
    </row>
    <row r="76" spans="3:4">
      <c r="C76">
        <v>475.30078259890013</v>
      </c>
      <c r="D76">
        <v>501.00870481512595</v>
      </c>
    </row>
    <row r="77" spans="3:4">
      <c r="C77">
        <v>17802127.439999998</v>
      </c>
      <c r="D77">
        <v>20841710.34</v>
      </c>
    </row>
    <row r="78" spans="3:4">
      <c r="C78">
        <v>13.465306695049753</v>
      </c>
      <c r="D78">
        <v>12.396588041831125</v>
      </c>
    </row>
    <row r="79" spans="3:4">
      <c r="C79">
        <v>2.8330074740089251E-2</v>
      </c>
      <c r="D79">
        <v>2.4743258795085227E-2</v>
      </c>
    </row>
  </sheetData>
  <phoneticPr fontId="36" type="noConversion"/>
  <pageMargins left="0.75" right="0.75" top="1" bottom="1" header="0" footer="0"/>
  <pageSetup orientation="portrait" horizont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B1:O134"/>
  <sheetViews>
    <sheetView topLeftCell="A22" zoomScale="75" workbookViewId="0">
      <selection activeCell="N49" sqref="N49"/>
    </sheetView>
  </sheetViews>
  <sheetFormatPr baseColWidth="10" defaultRowHeight="12.75"/>
  <cols>
    <col min="2" max="2" width="20.42578125" customWidth="1"/>
    <col min="3" max="3" width="14.28515625" customWidth="1"/>
    <col min="7" max="7" width="12.5703125" bestFit="1" customWidth="1"/>
    <col min="15" max="15" width="12.5703125" bestFit="1" customWidth="1"/>
  </cols>
  <sheetData>
    <row r="1" spans="2:15">
      <c r="B1" s="11">
        <v>2014</v>
      </c>
    </row>
    <row r="2" spans="2:15">
      <c r="B2" s="11"/>
      <c r="C2" t="s">
        <v>14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15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272</v>
      </c>
    </row>
    <row r="3" spans="2:15">
      <c r="B3" t="s">
        <v>212</v>
      </c>
      <c r="C3">
        <v>30.5</v>
      </c>
      <c r="D3">
        <v>27.5</v>
      </c>
      <c r="E3">
        <v>25</v>
      </c>
      <c r="F3">
        <v>23</v>
      </c>
      <c r="G3">
        <v>22.5</v>
      </c>
      <c r="H3">
        <v>20.5</v>
      </c>
      <c r="I3">
        <v>19</v>
      </c>
      <c r="J3">
        <v>19.5</v>
      </c>
      <c r="K3">
        <v>21</v>
      </c>
      <c r="L3">
        <v>21</v>
      </c>
      <c r="M3">
        <v>20</v>
      </c>
      <c r="N3">
        <v>18</v>
      </c>
      <c r="O3" s="47">
        <f>AVERAGE(C3:N3)</f>
        <v>22.291666666666668</v>
      </c>
    </row>
    <row r="4" spans="2:15">
      <c r="B4" t="s">
        <v>110</v>
      </c>
      <c r="C4">
        <v>25</v>
      </c>
      <c r="D4">
        <v>22.5</v>
      </c>
      <c r="E4">
        <v>20</v>
      </c>
      <c r="F4">
        <v>17.5</v>
      </c>
      <c r="G4">
        <v>16.5</v>
      </c>
      <c r="H4">
        <v>15.25</v>
      </c>
      <c r="I4">
        <v>14</v>
      </c>
      <c r="J4">
        <v>14.5</v>
      </c>
      <c r="K4">
        <v>16.5</v>
      </c>
      <c r="L4">
        <v>18</v>
      </c>
      <c r="M4">
        <v>18</v>
      </c>
      <c r="N4">
        <v>14</v>
      </c>
      <c r="O4" s="47">
        <f>AVERAGE(C4:N4)</f>
        <v>17.645833333333332</v>
      </c>
    </row>
    <row r="5" spans="2:15">
      <c r="B5" t="s">
        <v>111</v>
      </c>
      <c r="C5">
        <v>58</v>
      </c>
      <c r="D5">
        <v>56</v>
      </c>
      <c r="E5">
        <v>54</v>
      </c>
      <c r="F5">
        <v>51.5</v>
      </c>
      <c r="G5">
        <v>50.5</v>
      </c>
      <c r="H5">
        <v>48.5</v>
      </c>
      <c r="I5">
        <v>47</v>
      </c>
      <c r="J5">
        <v>48</v>
      </c>
      <c r="K5">
        <v>51</v>
      </c>
      <c r="L5">
        <v>52</v>
      </c>
      <c r="M5">
        <v>50</v>
      </c>
      <c r="N5">
        <v>46</v>
      </c>
      <c r="O5" s="47">
        <f>AVERAGE(C5:N5)</f>
        <v>51.041666666666664</v>
      </c>
    </row>
    <row r="6" spans="2:15">
      <c r="B6" t="s">
        <v>112</v>
      </c>
      <c r="C6">
        <v>53.5</v>
      </c>
      <c r="D6">
        <v>51</v>
      </c>
      <c r="E6">
        <v>48</v>
      </c>
      <c r="F6">
        <v>45</v>
      </c>
      <c r="G6">
        <v>44.5</v>
      </c>
      <c r="H6">
        <v>42</v>
      </c>
      <c r="I6">
        <v>40</v>
      </c>
      <c r="J6">
        <v>41</v>
      </c>
      <c r="K6">
        <v>44</v>
      </c>
      <c r="L6">
        <v>45</v>
      </c>
      <c r="M6">
        <v>42</v>
      </c>
      <c r="N6">
        <v>38</v>
      </c>
      <c r="O6" s="47">
        <f>AVERAGE(C6:N6)</f>
        <v>44.5</v>
      </c>
    </row>
    <row r="7" spans="2:15">
      <c r="O7" s="47"/>
    </row>
    <row r="8" spans="2:15">
      <c r="O8" s="47"/>
    </row>
    <row r="9" spans="2:15">
      <c r="B9" s="11">
        <v>2015</v>
      </c>
      <c r="O9" s="47"/>
    </row>
    <row r="10" spans="2:15">
      <c r="B10" s="11"/>
      <c r="C10" t="s">
        <v>14</v>
      </c>
      <c r="D10" t="s">
        <v>0</v>
      </c>
      <c r="E10" t="s">
        <v>1</v>
      </c>
      <c r="F10" t="s">
        <v>2</v>
      </c>
      <c r="G10" t="s">
        <v>3</v>
      </c>
      <c r="H10" t="s">
        <v>4</v>
      </c>
      <c r="I10" t="s">
        <v>15</v>
      </c>
      <c r="J10" t="s">
        <v>5</v>
      </c>
      <c r="K10" t="s">
        <v>6</v>
      </c>
      <c r="L10" t="s">
        <v>7</v>
      </c>
      <c r="M10" t="s">
        <v>8</v>
      </c>
      <c r="N10" t="s">
        <v>9</v>
      </c>
      <c r="O10" s="47"/>
    </row>
    <row r="11" spans="2:15">
      <c r="B11" t="s">
        <v>212</v>
      </c>
      <c r="C11">
        <v>19</v>
      </c>
      <c r="D11">
        <v>13</v>
      </c>
      <c r="E11">
        <v>11</v>
      </c>
      <c r="F11">
        <v>14</v>
      </c>
      <c r="G11">
        <v>13</v>
      </c>
      <c r="H11">
        <v>15</v>
      </c>
      <c r="I11">
        <v>16</v>
      </c>
      <c r="J11">
        <v>20</v>
      </c>
      <c r="K11">
        <v>20</v>
      </c>
      <c r="L11">
        <v>16</v>
      </c>
      <c r="M11">
        <v>14</v>
      </c>
      <c r="N11">
        <v>12</v>
      </c>
      <c r="O11" s="47"/>
    </row>
    <row r="12" spans="2:15">
      <c r="B12" t="s">
        <v>110</v>
      </c>
      <c r="C12">
        <v>14</v>
      </c>
      <c r="D12">
        <v>9</v>
      </c>
      <c r="E12">
        <v>10</v>
      </c>
      <c r="F12">
        <v>11</v>
      </c>
      <c r="G12">
        <v>10</v>
      </c>
      <c r="H12">
        <v>12</v>
      </c>
      <c r="I12">
        <v>15</v>
      </c>
      <c r="J12">
        <v>18</v>
      </c>
      <c r="K12">
        <v>20</v>
      </c>
      <c r="L12">
        <v>10</v>
      </c>
      <c r="M12">
        <v>10</v>
      </c>
      <c r="N12">
        <v>9</v>
      </c>
      <c r="O12" s="47"/>
    </row>
    <row r="13" spans="2:15">
      <c r="B13" t="s">
        <v>111</v>
      </c>
      <c r="C13">
        <v>45</v>
      </c>
      <c r="D13">
        <v>38</v>
      </c>
      <c r="E13">
        <v>38</v>
      </c>
      <c r="F13">
        <v>39</v>
      </c>
      <c r="G13">
        <v>39</v>
      </c>
      <c r="H13">
        <v>40</v>
      </c>
      <c r="I13">
        <v>40</v>
      </c>
      <c r="J13">
        <v>44</v>
      </c>
      <c r="K13">
        <v>44</v>
      </c>
      <c r="L13">
        <v>42</v>
      </c>
      <c r="M13">
        <v>42</v>
      </c>
      <c r="N13">
        <v>42</v>
      </c>
      <c r="O13" s="47"/>
    </row>
    <row r="14" spans="2:15">
      <c r="B14" t="s">
        <v>112</v>
      </c>
      <c r="C14">
        <v>37</v>
      </c>
      <c r="D14">
        <v>27</v>
      </c>
      <c r="E14">
        <v>29</v>
      </c>
      <c r="F14">
        <v>30</v>
      </c>
      <c r="G14">
        <v>28</v>
      </c>
      <c r="H14">
        <v>30</v>
      </c>
      <c r="I14">
        <v>32</v>
      </c>
      <c r="J14">
        <v>36</v>
      </c>
      <c r="K14">
        <v>38</v>
      </c>
      <c r="L14">
        <v>28</v>
      </c>
      <c r="M14">
        <v>28</v>
      </c>
      <c r="N14">
        <v>26</v>
      </c>
      <c r="O14" s="47"/>
    </row>
    <row r="15" spans="2:15">
      <c r="O15" s="47"/>
    </row>
    <row r="16" spans="2:15">
      <c r="O16" s="47"/>
    </row>
    <row r="17" spans="2:15">
      <c r="B17" s="11">
        <v>2016</v>
      </c>
      <c r="O17" s="47"/>
    </row>
    <row r="18" spans="2:15">
      <c r="B18" s="11"/>
      <c r="C18" t="s">
        <v>14</v>
      </c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15</v>
      </c>
      <c r="J18" t="s">
        <v>5</v>
      </c>
      <c r="K18" t="s">
        <v>6</v>
      </c>
      <c r="L18" t="s">
        <v>7</v>
      </c>
      <c r="M18" t="s">
        <v>8</v>
      </c>
      <c r="N18" t="s">
        <v>9</v>
      </c>
      <c r="O18" s="47"/>
    </row>
    <row r="19" spans="2:15">
      <c r="B19" t="s">
        <v>212</v>
      </c>
      <c r="C19">
        <v>10</v>
      </c>
      <c r="D19">
        <v>8</v>
      </c>
      <c r="E19">
        <v>10</v>
      </c>
      <c r="F19">
        <v>14</v>
      </c>
      <c r="G19">
        <v>15</v>
      </c>
      <c r="H19">
        <v>15</v>
      </c>
      <c r="I19">
        <v>16</v>
      </c>
      <c r="J19">
        <v>14</v>
      </c>
      <c r="K19">
        <v>14</v>
      </c>
      <c r="L19">
        <v>15</v>
      </c>
      <c r="M19">
        <v>17</v>
      </c>
      <c r="N19">
        <v>18</v>
      </c>
      <c r="O19" s="47"/>
    </row>
    <row r="20" spans="2:15">
      <c r="B20" t="s">
        <v>110</v>
      </c>
      <c r="C20">
        <v>9</v>
      </c>
      <c r="D20">
        <v>8</v>
      </c>
      <c r="E20">
        <v>10</v>
      </c>
      <c r="F20">
        <v>13</v>
      </c>
      <c r="G20">
        <v>15</v>
      </c>
      <c r="H20">
        <v>17</v>
      </c>
      <c r="I20">
        <v>19</v>
      </c>
      <c r="J20">
        <v>18</v>
      </c>
      <c r="K20">
        <v>18</v>
      </c>
      <c r="L20">
        <v>21</v>
      </c>
      <c r="M20">
        <v>25</v>
      </c>
      <c r="N20">
        <v>26</v>
      </c>
      <c r="O20" s="47"/>
    </row>
    <row r="21" spans="2:15">
      <c r="B21" t="s">
        <v>111</v>
      </c>
      <c r="C21">
        <v>42</v>
      </c>
      <c r="D21">
        <v>35</v>
      </c>
      <c r="E21">
        <v>35</v>
      </c>
      <c r="F21">
        <v>38</v>
      </c>
      <c r="G21">
        <v>40</v>
      </c>
      <c r="H21">
        <v>39</v>
      </c>
      <c r="I21">
        <v>40</v>
      </c>
      <c r="J21">
        <v>39</v>
      </c>
      <c r="K21">
        <v>39</v>
      </c>
      <c r="L21">
        <v>39</v>
      </c>
      <c r="M21">
        <v>41</v>
      </c>
      <c r="N21">
        <v>41</v>
      </c>
      <c r="O21" s="47"/>
    </row>
    <row r="22" spans="2:15">
      <c r="B22" t="s">
        <v>112</v>
      </c>
      <c r="C22">
        <v>24</v>
      </c>
      <c r="D22">
        <v>20</v>
      </c>
      <c r="E22">
        <v>22</v>
      </c>
      <c r="F22">
        <v>25</v>
      </c>
      <c r="G22">
        <v>27</v>
      </c>
      <c r="H22">
        <v>29</v>
      </c>
      <c r="I22">
        <v>31</v>
      </c>
      <c r="J22">
        <v>30</v>
      </c>
      <c r="K22">
        <v>30</v>
      </c>
      <c r="L22">
        <v>33</v>
      </c>
      <c r="M22">
        <v>37</v>
      </c>
      <c r="N22">
        <v>38</v>
      </c>
      <c r="O22" s="47"/>
    </row>
    <row r="23" spans="2:15">
      <c r="O23" s="47"/>
    </row>
    <row r="24" spans="2:15">
      <c r="O24" s="47"/>
    </row>
    <row r="25" spans="2:15">
      <c r="B25" s="11">
        <v>2017</v>
      </c>
      <c r="O25" s="47"/>
    </row>
    <row r="26" spans="2:15">
      <c r="B26" s="11"/>
      <c r="C26" t="s">
        <v>14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15</v>
      </c>
      <c r="J26" t="s">
        <v>5</v>
      </c>
      <c r="K26" t="s">
        <v>6</v>
      </c>
      <c r="L26" t="s">
        <v>7</v>
      </c>
      <c r="M26" t="s">
        <v>8</v>
      </c>
      <c r="N26" t="s">
        <v>9</v>
      </c>
      <c r="O26" s="47"/>
    </row>
    <row r="27" spans="2:15">
      <c r="B27" t="s">
        <v>212</v>
      </c>
      <c r="C27">
        <v>16</v>
      </c>
      <c r="D27">
        <v>16</v>
      </c>
      <c r="E27">
        <v>19</v>
      </c>
      <c r="F27">
        <v>20</v>
      </c>
      <c r="G27">
        <v>16</v>
      </c>
      <c r="H27">
        <v>17</v>
      </c>
      <c r="I27">
        <v>18</v>
      </c>
      <c r="J27">
        <v>18</v>
      </c>
      <c r="K27">
        <v>23</v>
      </c>
      <c r="L27">
        <v>24</v>
      </c>
      <c r="M27">
        <v>23</v>
      </c>
      <c r="N27">
        <v>24</v>
      </c>
      <c r="O27" s="47"/>
    </row>
    <row r="28" spans="2:15">
      <c r="B28" t="s">
        <v>110</v>
      </c>
      <c r="C28">
        <v>24</v>
      </c>
      <c r="D28">
        <v>25</v>
      </c>
      <c r="E28">
        <v>26</v>
      </c>
      <c r="F28">
        <v>26</v>
      </c>
      <c r="G28">
        <v>23</v>
      </c>
      <c r="H28">
        <v>24</v>
      </c>
      <c r="I28">
        <v>25</v>
      </c>
      <c r="J28">
        <v>24</v>
      </c>
      <c r="K28">
        <v>28</v>
      </c>
      <c r="L28">
        <v>30</v>
      </c>
      <c r="M28">
        <v>30</v>
      </c>
      <c r="N28">
        <v>30</v>
      </c>
      <c r="O28" s="47"/>
    </row>
    <row r="29" spans="2:15">
      <c r="B29" t="s">
        <v>112</v>
      </c>
      <c r="C29">
        <v>36</v>
      </c>
      <c r="D29">
        <v>37</v>
      </c>
      <c r="E29">
        <v>38</v>
      </c>
      <c r="F29">
        <v>38</v>
      </c>
      <c r="G29">
        <v>35</v>
      </c>
      <c r="H29">
        <v>36</v>
      </c>
      <c r="I29">
        <v>37</v>
      </c>
      <c r="J29">
        <v>36</v>
      </c>
      <c r="K29">
        <v>40</v>
      </c>
      <c r="L29">
        <v>42</v>
      </c>
      <c r="M29">
        <v>42</v>
      </c>
      <c r="N29">
        <v>43</v>
      </c>
      <c r="O29" s="47"/>
    </row>
    <row r="32" spans="2:15">
      <c r="B32" s="11">
        <v>2018</v>
      </c>
      <c r="C32" t="s">
        <v>14</v>
      </c>
      <c r="D32" t="s">
        <v>0</v>
      </c>
      <c r="E32" t="s">
        <v>1</v>
      </c>
      <c r="F32" t="s">
        <v>2</v>
      </c>
      <c r="G32" t="s">
        <v>3</v>
      </c>
      <c r="H32" t="s">
        <v>4</v>
      </c>
      <c r="I32" t="s">
        <v>15</v>
      </c>
      <c r="J32" t="s">
        <v>5</v>
      </c>
      <c r="K32" t="s">
        <v>6</v>
      </c>
      <c r="L32" t="s">
        <v>7</v>
      </c>
      <c r="M32" t="s">
        <v>8</v>
      </c>
      <c r="N32" t="s">
        <v>9</v>
      </c>
    </row>
    <row r="33" spans="2:14">
      <c r="B33" t="s">
        <v>212</v>
      </c>
      <c r="C33">
        <v>24</v>
      </c>
      <c r="D33">
        <v>23</v>
      </c>
      <c r="E33">
        <v>23</v>
      </c>
      <c r="F33">
        <v>23</v>
      </c>
      <c r="G33">
        <v>23</v>
      </c>
      <c r="H33">
        <v>23</v>
      </c>
      <c r="I33">
        <v>24</v>
      </c>
      <c r="J33">
        <v>24</v>
      </c>
      <c r="K33">
        <v>25</v>
      </c>
      <c r="L33">
        <v>27</v>
      </c>
      <c r="M33">
        <v>27</v>
      </c>
      <c r="N33">
        <v>27</v>
      </c>
    </row>
    <row r="34" spans="2:14">
      <c r="B34" t="s">
        <v>110</v>
      </c>
      <c r="C34">
        <v>31</v>
      </c>
      <c r="D34">
        <v>25</v>
      </c>
      <c r="E34">
        <v>26</v>
      </c>
      <c r="F34">
        <v>25</v>
      </c>
      <c r="G34">
        <v>24</v>
      </c>
      <c r="H34">
        <v>23</v>
      </c>
      <c r="I34">
        <v>24</v>
      </c>
      <c r="J34">
        <v>25</v>
      </c>
      <c r="K34">
        <v>26</v>
      </c>
      <c r="L34">
        <v>27</v>
      </c>
      <c r="M34">
        <v>27</v>
      </c>
      <c r="N34">
        <v>27</v>
      </c>
    </row>
    <row r="35" spans="2:14">
      <c r="B35" t="s">
        <v>112</v>
      </c>
      <c r="C35">
        <v>45</v>
      </c>
      <c r="D35">
        <v>44</v>
      </c>
      <c r="E35">
        <v>45</v>
      </c>
      <c r="F35">
        <v>45</v>
      </c>
      <c r="G35">
        <v>44</v>
      </c>
      <c r="H35">
        <v>43</v>
      </c>
      <c r="I35">
        <v>44</v>
      </c>
      <c r="J35">
        <v>46</v>
      </c>
      <c r="K35">
        <v>48</v>
      </c>
      <c r="L35">
        <v>50</v>
      </c>
      <c r="M35">
        <v>50</v>
      </c>
      <c r="N35">
        <v>51</v>
      </c>
    </row>
    <row r="38" spans="2:14">
      <c r="B38" s="11">
        <v>2019</v>
      </c>
      <c r="C38" t="s">
        <v>14</v>
      </c>
      <c r="D38" t="s">
        <v>0</v>
      </c>
      <c r="E38" t="s">
        <v>1</v>
      </c>
      <c r="F38" t="s">
        <v>2</v>
      </c>
      <c r="G38" t="s">
        <v>3</v>
      </c>
      <c r="H38" t="s">
        <v>4</v>
      </c>
      <c r="I38" t="s">
        <v>15</v>
      </c>
      <c r="J38" t="s">
        <v>5</v>
      </c>
      <c r="K38" t="s">
        <v>6</v>
      </c>
      <c r="L38" t="s">
        <v>7</v>
      </c>
      <c r="M38" t="s">
        <v>8</v>
      </c>
      <c r="N38" t="s">
        <v>9</v>
      </c>
    </row>
    <row r="39" spans="2:14">
      <c r="B39" t="s">
        <v>212</v>
      </c>
      <c r="C39">
        <v>26</v>
      </c>
      <c r="D39">
        <v>17</v>
      </c>
      <c r="E39">
        <v>18</v>
      </c>
      <c r="F39">
        <v>23</v>
      </c>
      <c r="G39">
        <v>26</v>
      </c>
      <c r="H39">
        <v>23</v>
      </c>
      <c r="I39">
        <v>38.5</v>
      </c>
      <c r="J39">
        <v>35.5</v>
      </c>
      <c r="K39">
        <v>35</v>
      </c>
      <c r="L39">
        <v>28</v>
      </c>
      <c r="M39">
        <v>21</v>
      </c>
      <c r="N39">
        <v>27</v>
      </c>
    </row>
    <row r="40" spans="2:14">
      <c r="B40" t="s">
        <v>110</v>
      </c>
      <c r="C40">
        <v>26</v>
      </c>
      <c r="D40">
        <v>20</v>
      </c>
      <c r="E40">
        <v>20</v>
      </c>
      <c r="F40">
        <v>19</v>
      </c>
      <c r="G40">
        <v>21</v>
      </c>
      <c r="H40">
        <v>19</v>
      </c>
      <c r="I40">
        <v>31.5</v>
      </c>
      <c r="J40">
        <v>29</v>
      </c>
      <c r="K40">
        <v>28.5</v>
      </c>
      <c r="L40">
        <v>23</v>
      </c>
      <c r="M40">
        <v>17</v>
      </c>
      <c r="N40">
        <v>22</v>
      </c>
    </row>
    <row r="41" spans="2:14">
      <c r="B41" t="s">
        <v>112</v>
      </c>
      <c r="C41">
        <v>50</v>
      </c>
      <c r="D41">
        <v>40</v>
      </c>
      <c r="E41">
        <v>41</v>
      </c>
      <c r="F41">
        <v>42</v>
      </c>
      <c r="G41">
        <v>41</v>
      </c>
      <c r="H41">
        <v>38.5</v>
      </c>
      <c r="I41">
        <v>53.5</v>
      </c>
      <c r="J41">
        <v>52.5</v>
      </c>
      <c r="K41">
        <v>52</v>
      </c>
      <c r="L41">
        <v>45</v>
      </c>
      <c r="M41">
        <v>36</v>
      </c>
      <c r="N41">
        <v>39</v>
      </c>
    </row>
    <row r="45" spans="2:14">
      <c r="B45" s="11">
        <v>2020</v>
      </c>
      <c r="C45" t="s">
        <v>14</v>
      </c>
      <c r="D45" t="s">
        <v>0</v>
      </c>
      <c r="E45" t="s">
        <v>1</v>
      </c>
      <c r="F45" t="s">
        <v>2</v>
      </c>
      <c r="G45" t="s">
        <v>3</v>
      </c>
      <c r="H45" t="s">
        <v>4</v>
      </c>
      <c r="I45" t="s">
        <v>15</v>
      </c>
      <c r="J45" t="s">
        <v>5</v>
      </c>
      <c r="K45" t="s">
        <v>6</v>
      </c>
      <c r="L45" t="s">
        <v>7</v>
      </c>
      <c r="M45" t="s">
        <v>8</v>
      </c>
      <c r="N45" t="s">
        <v>9</v>
      </c>
    </row>
    <row r="46" spans="2:14">
      <c r="B46" t="s">
        <v>212</v>
      </c>
      <c r="C46">
        <v>22</v>
      </c>
      <c r="D46">
        <v>20</v>
      </c>
      <c r="E46">
        <v>21</v>
      </c>
      <c r="F46">
        <v>16</v>
      </c>
      <c r="G46">
        <v>14</v>
      </c>
      <c r="H46">
        <v>16</v>
      </c>
      <c r="I46">
        <v>25</v>
      </c>
      <c r="J46">
        <v>31</v>
      </c>
      <c r="K46">
        <v>24</v>
      </c>
      <c r="L46">
        <v>24</v>
      </c>
      <c r="M46">
        <v>25</v>
      </c>
      <c r="N46">
        <v>28</v>
      </c>
    </row>
    <row r="47" spans="2:14">
      <c r="B47" t="s">
        <v>110</v>
      </c>
      <c r="C47">
        <v>18</v>
      </c>
      <c r="D47">
        <v>16</v>
      </c>
      <c r="E47">
        <v>18</v>
      </c>
      <c r="F47">
        <v>13</v>
      </c>
      <c r="G47">
        <v>12</v>
      </c>
      <c r="H47">
        <v>14</v>
      </c>
      <c r="I47">
        <v>21</v>
      </c>
      <c r="J47">
        <v>26</v>
      </c>
      <c r="K47">
        <v>20</v>
      </c>
      <c r="L47">
        <v>20</v>
      </c>
      <c r="M47">
        <v>21</v>
      </c>
      <c r="N47">
        <v>23</v>
      </c>
    </row>
    <row r="48" spans="2:14">
      <c r="B48" t="s">
        <v>111</v>
      </c>
      <c r="C48">
        <v>36</v>
      </c>
      <c r="D48">
        <v>36</v>
      </c>
      <c r="E48">
        <v>39</v>
      </c>
      <c r="F48">
        <v>33</v>
      </c>
      <c r="G48">
        <v>29</v>
      </c>
      <c r="H48">
        <v>33</v>
      </c>
      <c r="I48">
        <v>40</v>
      </c>
      <c r="J48">
        <v>48</v>
      </c>
      <c r="K48">
        <v>43</v>
      </c>
      <c r="L48">
        <v>42</v>
      </c>
      <c r="M48">
        <v>41</v>
      </c>
      <c r="N48">
        <v>44</v>
      </c>
    </row>
    <row r="49" spans="2:14">
      <c r="B49" t="s">
        <v>112</v>
      </c>
      <c r="C49">
        <v>35</v>
      </c>
      <c r="D49">
        <v>35</v>
      </c>
      <c r="E49">
        <v>38</v>
      </c>
      <c r="F49">
        <v>32</v>
      </c>
      <c r="G49">
        <v>29</v>
      </c>
      <c r="H49">
        <v>33</v>
      </c>
      <c r="I49">
        <v>39</v>
      </c>
      <c r="J49">
        <v>45</v>
      </c>
      <c r="K49">
        <v>41</v>
      </c>
      <c r="L49">
        <v>40</v>
      </c>
      <c r="M49">
        <v>40</v>
      </c>
      <c r="N49">
        <v>41</v>
      </c>
    </row>
    <row r="56" spans="2:14">
      <c r="B56" s="11">
        <v>2002</v>
      </c>
    </row>
    <row r="57" spans="2:14">
      <c r="C57" t="s">
        <v>14</v>
      </c>
      <c r="D57" t="s">
        <v>0</v>
      </c>
      <c r="E57" t="s">
        <v>1</v>
      </c>
      <c r="F57" t="s">
        <v>2</v>
      </c>
      <c r="G57" t="s">
        <v>3</v>
      </c>
      <c r="H57" t="s">
        <v>4</v>
      </c>
      <c r="I57" t="s">
        <v>15</v>
      </c>
      <c r="J57" t="s">
        <v>5</v>
      </c>
      <c r="K57" t="s">
        <v>6</v>
      </c>
      <c r="L57" t="s">
        <v>7</v>
      </c>
      <c r="M57" t="s">
        <v>8</v>
      </c>
      <c r="N57" t="s">
        <v>9</v>
      </c>
    </row>
    <row r="58" spans="2:14">
      <c r="B58" t="s">
        <v>109</v>
      </c>
      <c r="C58">
        <f>(15.1+15.7+16+15.5)/4</f>
        <v>15.574999999999999</v>
      </c>
      <c r="D58">
        <v>15.5</v>
      </c>
      <c r="E58">
        <v>16.39</v>
      </c>
      <c r="F58">
        <v>16.8</v>
      </c>
      <c r="G58">
        <f>(17.1+16.8+17.45+17.35+17)/5</f>
        <v>17.140000000000004</v>
      </c>
      <c r="H58">
        <f>(16.2+15.95+15.95+15.85)/4</f>
        <v>15.987499999999999</v>
      </c>
      <c r="I58">
        <v>16.29</v>
      </c>
      <c r="J58">
        <v>16.77</v>
      </c>
      <c r="K58">
        <v>17.2</v>
      </c>
      <c r="L58" s="47">
        <f>(17.1+16.8+17.2+17.25)/4</f>
        <v>17.087500000000002</v>
      </c>
      <c r="M58" s="47">
        <f>(17.2+17.3+17+17.1)/4</f>
        <v>17.149999999999999</v>
      </c>
      <c r="N58" s="47">
        <f>(18+17.6+17.4)/3</f>
        <v>17.666666666666668</v>
      </c>
    </row>
    <row r="59" spans="2:14">
      <c r="B59" t="s">
        <v>110</v>
      </c>
      <c r="C59">
        <f>(8.4+9.2+9.4+8.9)/4</f>
        <v>8.9749999999999996</v>
      </c>
      <c r="D59">
        <v>9.1999999999999993</v>
      </c>
      <c r="E59">
        <v>10</v>
      </c>
      <c r="F59">
        <v>10.4</v>
      </c>
      <c r="G59">
        <f>(11+10.6+11.1+10.7+10.4)/5</f>
        <v>10.760000000000002</v>
      </c>
      <c r="H59">
        <f>(9.5+9.2+9.3+9.2)/4</f>
        <v>9.3000000000000007</v>
      </c>
      <c r="I59">
        <v>9.7200000000000006</v>
      </c>
      <c r="J59">
        <v>10.27</v>
      </c>
      <c r="K59">
        <v>12.3</v>
      </c>
      <c r="L59" s="47">
        <f>(12.6+12.3+12.8+12.9)/4</f>
        <v>12.65</v>
      </c>
      <c r="M59" s="47">
        <f>(13.1+13.2+12.9+13)/4</f>
        <v>13.049999999999999</v>
      </c>
      <c r="N59" s="47">
        <f>(14+13.8+13.5)/3</f>
        <v>13.766666666666666</v>
      </c>
    </row>
    <row r="60" spans="2:14">
      <c r="B60" t="s">
        <v>111</v>
      </c>
      <c r="C60">
        <f>(21.8+22.4+23.3+22.4)/4</f>
        <v>22.475000000000001</v>
      </c>
      <c r="D60">
        <v>22.7</v>
      </c>
      <c r="E60">
        <v>23.7</v>
      </c>
      <c r="F60">
        <v>26.2</v>
      </c>
      <c r="G60">
        <f>(26.2+26.3+26.1+26.1+25.7)/5</f>
        <v>26.079999999999995</v>
      </c>
      <c r="H60">
        <f>(23.5+22.8+23+22.9)/4</f>
        <v>23.049999999999997</v>
      </c>
      <c r="I60">
        <v>23.25</v>
      </c>
      <c r="J60">
        <v>24.27</v>
      </c>
      <c r="K60">
        <v>28.63</v>
      </c>
      <c r="L60" s="47">
        <f>(29.1+28.7+29.5+29.6)/4</f>
        <v>29.225000000000001</v>
      </c>
      <c r="M60" s="47">
        <f>(29.6+29.8+29.1+29.3)/4</f>
        <v>29.45</v>
      </c>
      <c r="N60" s="47">
        <f>(30.3+29.9+29.7)/3</f>
        <v>29.966666666666669</v>
      </c>
    </row>
    <row r="61" spans="2:14">
      <c r="B61" t="s">
        <v>112</v>
      </c>
      <c r="C61">
        <f>(17.4+17.1+19+17.6)/4</f>
        <v>17.774999999999999</v>
      </c>
      <c r="D61">
        <v>17.760000000000002</v>
      </c>
      <c r="E61">
        <v>19.12</v>
      </c>
      <c r="F61">
        <v>21.47</v>
      </c>
      <c r="G61">
        <f>(21.2+20.9+21.47+21.5+21.2)/5</f>
        <v>21.253999999999998</v>
      </c>
      <c r="H61">
        <f>(18.8+17.9+18.4+18.4)/4</f>
        <v>18.375</v>
      </c>
      <c r="I61">
        <v>18.68</v>
      </c>
      <c r="J61">
        <v>19.57</v>
      </c>
      <c r="K61">
        <v>23.88</v>
      </c>
      <c r="L61" s="47">
        <f>(24.4+24+24.8+24.9)/4</f>
        <v>24.524999999999999</v>
      </c>
      <c r="M61" s="47">
        <f>(25+24.9+24.4+24.4)/4</f>
        <v>24.674999999999997</v>
      </c>
      <c r="N61" s="47">
        <f>(25.5+25.1+24.8)/3</f>
        <v>25.133333333333336</v>
      </c>
    </row>
    <row r="62" spans="2:14">
      <c r="L62" s="47"/>
      <c r="M62" s="47"/>
      <c r="N62" s="47"/>
    </row>
    <row r="63" spans="2:14">
      <c r="B63" s="11">
        <v>2003</v>
      </c>
    </row>
    <row r="65" spans="2:15">
      <c r="C65" t="s">
        <v>14</v>
      </c>
      <c r="D65" t="s">
        <v>0</v>
      </c>
      <c r="E65" t="s">
        <v>1</v>
      </c>
      <c r="F65" t="s">
        <v>2</v>
      </c>
      <c r="G65" t="s">
        <v>3</v>
      </c>
      <c r="H65" t="s">
        <v>4</v>
      </c>
      <c r="I65" t="s">
        <v>15</v>
      </c>
      <c r="J65" t="s">
        <v>5</v>
      </c>
      <c r="K65" t="s">
        <v>6</v>
      </c>
      <c r="L65" t="s">
        <v>7</v>
      </c>
      <c r="M65" t="s">
        <v>8</v>
      </c>
      <c r="N65" t="s">
        <v>9</v>
      </c>
      <c r="O65" s="11" t="s">
        <v>187</v>
      </c>
    </row>
    <row r="66" spans="2:15">
      <c r="B66" t="s">
        <v>109</v>
      </c>
      <c r="C66">
        <f>(18.2+18.6+18.7+17.7)/4</f>
        <v>18.3</v>
      </c>
      <c r="D66">
        <f>(18+18.6+18.3+18.2)/4</f>
        <v>18.275000000000002</v>
      </c>
      <c r="E66">
        <f>(18.8+19.4+20+20)/4</f>
        <v>19.55</v>
      </c>
      <c r="F66">
        <f>(21.6+22.3+20.9+22.3)/4</f>
        <v>21.775000000000002</v>
      </c>
      <c r="G66">
        <v>26.725000000000001</v>
      </c>
      <c r="H66">
        <v>25.66</v>
      </c>
      <c r="I66">
        <v>26.0625</v>
      </c>
      <c r="J66">
        <v>26.375</v>
      </c>
      <c r="K66">
        <v>27.76</v>
      </c>
      <c r="L66" s="47">
        <v>31.6</v>
      </c>
      <c r="M66" s="47">
        <v>33.9</v>
      </c>
      <c r="N66" s="47">
        <v>39.409999999999997</v>
      </c>
      <c r="O66" s="226">
        <f>AVERAGE(C66:N66)</f>
        <v>26.282708333333328</v>
      </c>
    </row>
    <row r="67" spans="2:15">
      <c r="B67" t="s">
        <v>110</v>
      </c>
      <c r="C67">
        <f>(17.8+14.5+14.6+13.5)/4</f>
        <v>15.1</v>
      </c>
      <c r="D67">
        <f>(13.8+14.5+14.2+14.2)/4</f>
        <v>14.175000000000001</v>
      </c>
      <c r="E67">
        <f>(14.8+18.6+19.2+19.2)/4</f>
        <v>17.950000000000003</v>
      </c>
      <c r="F67">
        <f>(17.7+21.5+16.9+21.5)/4</f>
        <v>19.399999999999999</v>
      </c>
      <c r="G67" s="47">
        <v>22.024999999999999</v>
      </c>
      <c r="H67">
        <v>20.12</v>
      </c>
      <c r="I67">
        <v>19.024999999999999</v>
      </c>
      <c r="J67">
        <v>18.375</v>
      </c>
      <c r="K67">
        <v>19.34</v>
      </c>
      <c r="L67" s="47">
        <v>26.48</v>
      </c>
      <c r="M67" s="47">
        <v>31.13</v>
      </c>
      <c r="N67" s="47">
        <v>38.049999999999997</v>
      </c>
      <c r="O67" s="226">
        <f>AVERAGE(C67:N67)</f>
        <v>21.764166666666668</v>
      </c>
    </row>
    <row r="68" spans="2:15">
      <c r="B68" t="s">
        <v>111</v>
      </c>
      <c r="C68">
        <f>(30.3+32.3+32.6+30.8)/4</f>
        <v>31.499999999999996</v>
      </c>
      <c r="D68">
        <f>(31.3+32.8+32+32)/4</f>
        <v>32.024999999999999</v>
      </c>
      <c r="E68">
        <f>(33.3+38.2+35+34.9)/4</f>
        <v>35.35</v>
      </c>
      <c r="F68">
        <f>(35.9+41.1+35.2+41.2)/4</f>
        <v>38.35</v>
      </c>
      <c r="G68">
        <v>42.25</v>
      </c>
      <c r="H68">
        <v>35.4</v>
      </c>
      <c r="I68">
        <v>37.174999999999997</v>
      </c>
      <c r="J68" s="47">
        <v>37.949999999999996</v>
      </c>
      <c r="K68">
        <v>39.78</v>
      </c>
      <c r="L68" s="47">
        <v>48.95</v>
      </c>
      <c r="M68" s="47">
        <v>51.95</v>
      </c>
      <c r="N68" s="47">
        <v>56.55</v>
      </c>
      <c r="O68" s="226">
        <f>AVERAGE(C68:N68)</f>
        <v>40.602499999999999</v>
      </c>
    </row>
    <row r="69" spans="2:15">
      <c r="B69" t="s">
        <v>112</v>
      </c>
      <c r="C69">
        <f>(25.5+27.7+28+26.2)/4</f>
        <v>26.85</v>
      </c>
      <c r="D69">
        <f>(26.7+28.6+27.3+26.2)/4</f>
        <v>27.2</v>
      </c>
      <c r="E69">
        <f>(28.6+29.6+30.1+29.9)/4</f>
        <v>29.550000000000004</v>
      </c>
      <c r="F69">
        <f>(30.9+32.1+30.3+32.2)/4</f>
        <v>31.375</v>
      </c>
      <c r="G69">
        <v>34.549999999999997</v>
      </c>
      <c r="H69">
        <v>28.26</v>
      </c>
      <c r="I69">
        <v>32.125</v>
      </c>
      <c r="J69" s="47">
        <v>33.78</v>
      </c>
      <c r="K69">
        <v>35.200000000000003</v>
      </c>
      <c r="L69" s="47">
        <v>44.75</v>
      </c>
      <c r="M69" s="47">
        <v>49.43</v>
      </c>
      <c r="N69" s="47">
        <v>56.58</v>
      </c>
      <c r="O69" s="226">
        <f>AVERAGE(C69:N69)</f>
        <v>35.804166666666667</v>
      </c>
    </row>
    <row r="70" spans="2:15">
      <c r="B70" s="11">
        <v>2004</v>
      </c>
    </row>
    <row r="72" spans="2:15">
      <c r="C72" t="s">
        <v>14</v>
      </c>
      <c r="D72" t="s">
        <v>0</v>
      </c>
      <c r="E72" t="s">
        <v>1</v>
      </c>
      <c r="F72" t="s">
        <v>2</v>
      </c>
      <c r="G72" t="s">
        <v>3</v>
      </c>
      <c r="H72" t="s">
        <v>4</v>
      </c>
      <c r="I72" t="s">
        <v>15</v>
      </c>
      <c r="J72" t="s">
        <v>5</v>
      </c>
      <c r="K72" t="s">
        <v>6</v>
      </c>
      <c r="L72" t="s">
        <v>7</v>
      </c>
      <c r="M72" t="s">
        <v>8</v>
      </c>
      <c r="N72" t="s">
        <v>9</v>
      </c>
      <c r="O72" s="11" t="s">
        <v>187</v>
      </c>
    </row>
    <row r="73" spans="2:15">
      <c r="B73" t="s">
        <v>109</v>
      </c>
      <c r="C73">
        <f>(37+41+41+41)/4</f>
        <v>40</v>
      </c>
      <c r="D73">
        <f>(47+47+48+50)/4</f>
        <v>48</v>
      </c>
      <c r="E73">
        <f>(47*3+47.2)/4</f>
        <v>47.05</v>
      </c>
      <c r="F73">
        <f>(47.2+47.2+47+45)/4</f>
        <v>46.6</v>
      </c>
      <c r="G73">
        <f>(44+43+43.3+39)/4</f>
        <v>42.325000000000003</v>
      </c>
      <c r="H73">
        <f>(34+34+46+48.3)/4</f>
        <v>40.575000000000003</v>
      </c>
      <c r="I73">
        <f>(54.5+61+61.6+64.6)/4</f>
        <v>60.424999999999997</v>
      </c>
      <c r="J73">
        <v>70.875</v>
      </c>
      <c r="K73">
        <f>(65.1+49+45+44.5)/4</f>
        <v>50.9</v>
      </c>
      <c r="L73" s="47">
        <f>(46.2+46.2+48.2+53.2)/4</f>
        <v>48.45</v>
      </c>
      <c r="M73" s="47">
        <f>(55.2+54.2+54.7+55.2+55.2)/5</f>
        <v>54.9</v>
      </c>
      <c r="N73" s="47">
        <f>216.4/4</f>
        <v>54.1</v>
      </c>
      <c r="O73" s="226">
        <f>AVERAGE(C73:N73)</f>
        <v>50.35</v>
      </c>
    </row>
    <row r="74" spans="2:15">
      <c r="B74" t="s">
        <v>110</v>
      </c>
      <c r="C74">
        <f>(34+48.2+48.2+48.2)/4</f>
        <v>44.650000000000006</v>
      </c>
      <c r="D74">
        <f>(56.2+56.2+56.3+48.2)/4</f>
        <v>54.224999999999994</v>
      </c>
      <c r="E74">
        <f>(54*3+54.2)/4</f>
        <v>54.05</v>
      </c>
      <c r="F74">
        <f>(54.2+54.2+54+52.4)/4</f>
        <v>53.7</v>
      </c>
      <c r="G74" s="47">
        <f>(38+37+37+34.3)/4</f>
        <v>36.575000000000003</v>
      </c>
      <c r="H74">
        <f>(30.3+30.3+36.5+38.2)/4</f>
        <v>33.825000000000003</v>
      </c>
      <c r="I74">
        <f>(43.1+48+48.7+51)/4</f>
        <v>47.7</v>
      </c>
      <c r="J74">
        <v>58.075000000000003</v>
      </c>
      <c r="K74">
        <f>(51.5+42+38+37.5)/4</f>
        <v>42.25</v>
      </c>
      <c r="L74" s="47">
        <f>(39.5+39.5+41.2+46.2)/4</f>
        <v>41.6</v>
      </c>
      <c r="M74" s="47">
        <f>(48.2+47.2+53.5+48.2+48.2)/5</f>
        <v>49.06</v>
      </c>
      <c r="N74" s="47">
        <f>191.8/4</f>
        <v>47.95</v>
      </c>
      <c r="O74" s="226">
        <f>AVERAGE(C74:N74)</f>
        <v>46.971666666666671</v>
      </c>
    </row>
    <row r="75" spans="2:15">
      <c r="B75" t="s">
        <v>111</v>
      </c>
      <c r="C75">
        <f>(58+64+64+64)/4</f>
        <v>62.5</v>
      </c>
      <c r="D75">
        <v>64</v>
      </c>
      <c r="E75">
        <f>(64*3+64.2)/4</f>
        <v>64.05</v>
      </c>
      <c r="F75">
        <f>(64.2+64.2+63.9+72.9)/4</f>
        <v>66.300000000000011</v>
      </c>
      <c r="G75">
        <f>(63+58+57.9+57)/4</f>
        <v>58.975000000000001</v>
      </c>
      <c r="H75">
        <f>(52+52+43.1+51.6)/4</f>
        <v>49.674999999999997</v>
      </c>
      <c r="I75">
        <f>(72.7+83+79.8+72.7)/4</f>
        <v>77.05</v>
      </c>
      <c r="J75">
        <v>76.325000000000003</v>
      </c>
      <c r="K75">
        <f>(76.1+66+64.7+63.7)/4</f>
        <v>67.625</v>
      </c>
      <c r="L75" s="47">
        <f>(67+67+68+74)/4</f>
        <v>69</v>
      </c>
      <c r="M75" s="47">
        <f>(75+72+72+75.8+81.5)/5</f>
        <v>75.260000000000005</v>
      </c>
      <c r="N75" s="47">
        <f>309.5/4</f>
        <v>77.375</v>
      </c>
      <c r="O75" s="226">
        <f>AVERAGE(C75:N75)</f>
        <v>67.344583333333347</v>
      </c>
    </row>
    <row r="76" spans="2:15">
      <c r="B76" t="s">
        <v>112</v>
      </c>
      <c r="C76">
        <f>(49+54+54+54)/4</f>
        <v>52.75</v>
      </c>
      <c r="D76">
        <f>(58+58+58+56)/4</f>
        <v>57.5</v>
      </c>
      <c r="E76">
        <f>(54*3+54.2)/4</f>
        <v>54.05</v>
      </c>
      <c r="F76">
        <f>(54.2+54.2+52.7+60)/4</f>
        <v>55.275000000000006</v>
      </c>
      <c r="G76">
        <f>(52+49.15+49.1+47)/4</f>
        <v>49.3125</v>
      </c>
      <c r="H76">
        <f>(42+47+36+43)/4</f>
        <v>42</v>
      </c>
      <c r="I76">
        <f>(61+62+55+50)/4</f>
        <v>57</v>
      </c>
      <c r="J76">
        <v>64.25</v>
      </c>
      <c r="K76">
        <f>(66+56+54+53)/4</f>
        <v>57.25</v>
      </c>
      <c r="L76" s="47">
        <f>(57+57+58+64)/4</f>
        <v>59</v>
      </c>
      <c r="M76" s="47">
        <f>(65+62+62+68.5+72)/5</f>
        <v>65.900000000000006</v>
      </c>
      <c r="N76" s="47">
        <f>271.5/4</f>
        <v>67.875</v>
      </c>
      <c r="O76" s="226">
        <f>AVERAGE(C76:N76)</f>
        <v>56.846875000000004</v>
      </c>
    </row>
    <row r="77" spans="2:15">
      <c r="L77" s="47"/>
      <c r="M77" s="47"/>
      <c r="N77" s="47"/>
    </row>
    <row r="78" spans="2:15">
      <c r="B78" s="11">
        <v>2005</v>
      </c>
      <c r="L78" s="47"/>
      <c r="M78" s="47"/>
      <c r="N78" s="47"/>
    </row>
    <row r="79" spans="2:15">
      <c r="L79" s="47"/>
      <c r="M79" s="47"/>
      <c r="N79" s="47"/>
    </row>
    <row r="80" spans="2:15">
      <c r="C80" t="s">
        <v>14</v>
      </c>
      <c r="D80" t="s">
        <v>0</v>
      </c>
      <c r="E80" t="s">
        <v>1</v>
      </c>
      <c r="F80" t="s">
        <v>2</v>
      </c>
      <c r="G80" t="s">
        <v>3</v>
      </c>
      <c r="H80" t="s">
        <v>4</v>
      </c>
      <c r="I80" t="s">
        <v>15</v>
      </c>
      <c r="J80" t="s">
        <v>5</v>
      </c>
      <c r="K80" t="s">
        <v>6</v>
      </c>
      <c r="L80" t="s">
        <v>7</v>
      </c>
      <c r="M80" t="s">
        <v>8</v>
      </c>
      <c r="N80" t="s">
        <v>9</v>
      </c>
      <c r="O80" s="11" t="s">
        <v>187</v>
      </c>
    </row>
    <row r="81" spans="2:15">
      <c r="B81" t="s">
        <v>109</v>
      </c>
      <c r="C81">
        <f>(50.5+51+52.5+48.5+47.5)/5</f>
        <v>50</v>
      </c>
      <c r="D81">
        <f>(59.7+57.7+47.7+46.7)/4</f>
        <v>52.95</v>
      </c>
      <c r="E81">
        <v>62.5</v>
      </c>
      <c r="F81" s="47">
        <f>(62+61.5+61+59.2)/4</f>
        <v>60.924999999999997</v>
      </c>
      <c r="G81">
        <f>(55.2+50.2+48.2+48.2+46.7)/5</f>
        <v>49.7</v>
      </c>
      <c r="H81">
        <v>42.95</v>
      </c>
      <c r="I81">
        <v>31.45</v>
      </c>
      <c r="J81">
        <f>(27.3+27.8+27.8+29.8+30.8)/5</f>
        <v>28.7</v>
      </c>
      <c r="K81">
        <v>34.5</v>
      </c>
      <c r="L81">
        <v>39.299999999999997</v>
      </c>
      <c r="M81">
        <v>36</v>
      </c>
      <c r="N81">
        <f>(34.3+34.3+33.8+34.8)/4</f>
        <v>34.299999999999997</v>
      </c>
      <c r="O81" s="226">
        <f>AVERAGE(C81:N81)</f>
        <v>43.606249999999996</v>
      </c>
    </row>
    <row r="82" spans="2:15">
      <c r="B82" t="s">
        <v>110</v>
      </c>
      <c r="C82">
        <f>(45.2+46+47+44.5+43.5)/5</f>
        <v>45.239999999999995</v>
      </c>
      <c r="D82" s="47">
        <f>(50.5+48.5+42.5+43.5)/4</f>
        <v>46.25</v>
      </c>
      <c r="E82">
        <v>53.7</v>
      </c>
      <c r="F82" s="47">
        <f>(53.2+52.7+52.1+50.1)/4</f>
        <v>52.024999999999999</v>
      </c>
      <c r="G82">
        <f>(46.1+41.1+39.1+39.1+37.6)/5</f>
        <v>40.6</v>
      </c>
      <c r="H82">
        <v>33.549999999999997</v>
      </c>
      <c r="I82">
        <v>22.5</v>
      </c>
      <c r="J82">
        <f>(19+19.5+19.5+19.8+22.5)/5</f>
        <v>20.059999999999999</v>
      </c>
      <c r="K82">
        <v>26.2</v>
      </c>
      <c r="L82">
        <v>30.75</v>
      </c>
      <c r="M82">
        <v>26.7</v>
      </c>
      <c r="N82">
        <f>(25+25+24.5+25.5)/4</f>
        <v>25</v>
      </c>
      <c r="O82" s="226">
        <f>AVERAGE(C82:N82)</f>
        <v>35.21458333333333</v>
      </c>
    </row>
    <row r="83" spans="2:15">
      <c r="B83" t="s">
        <v>111</v>
      </c>
      <c r="C83">
        <f>(70.5+74.5+72.5+68.5+64)/5</f>
        <v>70</v>
      </c>
      <c r="D83" s="47">
        <f>(69.5+70.5+64.5+68.5)/4</f>
        <v>68.25</v>
      </c>
      <c r="E83">
        <v>71.25</v>
      </c>
      <c r="F83" s="47">
        <f>(70+70+70+68.5)/4</f>
        <v>69.625</v>
      </c>
      <c r="G83">
        <f>(68.5+65.5+60+60+59)/5</f>
        <v>62.6</v>
      </c>
      <c r="H83">
        <v>55.12</v>
      </c>
      <c r="I83">
        <v>45.25</v>
      </c>
      <c r="J83">
        <f>(37+39+41+44+42.5)/5</f>
        <v>40.700000000000003</v>
      </c>
      <c r="K83">
        <v>45</v>
      </c>
      <c r="L83">
        <v>52.65</v>
      </c>
      <c r="M83">
        <v>48.3</v>
      </c>
      <c r="N83">
        <f>(44.5+41.5+40.5+42.5)/4</f>
        <v>42.25</v>
      </c>
      <c r="O83" s="226">
        <f>AVERAGE(C83:N83)</f>
        <v>55.916249999999998</v>
      </c>
    </row>
    <row r="84" spans="2:15">
      <c r="B84" t="s">
        <v>112</v>
      </c>
      <c r="C84">
        <f>(61+65+63+59+56)/5</f>
        <v>60.8</v>
      </c>
      <c r="D84">
        <f>(61+60+62+56)/4</f>
        <v>59.75</v>
      </c>
      <c r="E84">
        <v>62.75</v>
      </c>
      <c r="F84" s="47">
        <f>(62.5+62.5+62.5+61)/4</f>
        <v>62.125</v>
      </c>
      <c r="G84">
        <f>(61+58.5+53+53+52)/5</f>
        <v>55.5</v>
      </c>
      <c r="H84">
        <v>48</v>
      </c>
      <c r="I84">
        <v>39.75</v>
      </c>
      <c r="J84">
        <f>(33+35+37+41+38.5)/5</f>
        <v>36.9</v>
      </c>
      <c r="K84">
        <v>41.3</v>
      </c>
      <c r="L84">
        <v>49.15</v>
      </c>
      <c r="M84">
        <v>44.8</v>
      </c>
      <c r="N84">
        <f>(41+38+37+39)/4</f>
        <v>38.75</v>
      </c>
      <c r="O84" s="226">
        <f>AVERAGE(C84:N84)</f>
        <v>49.96458333333333</v>
      </c>
    </row>
    <row r="86" spans="2:15">
      <c r="B86" s="11">
        <v>2006</v>
      </c>
    </row>
    <row r="87" spans="2:15">
      <c r="C87" t="s">
        <v>14</v>
      </c>
      <c r="D87" t="s">
        <v>0</v>
      </c>
      <c r="E87" t="s">
        <v>1</v>
      </c>
      <c r="F87" t="s">
        <v>2</v>
      </c>
      <c r="G87" t="s">
        <v>3</v>
      </c>
      <c r="H87" t="s">
        <v>4</v>
      </c>
      <c r="I87" t="s">
        <v>15</v>
      </c>
      <c r="J87" t="s">
        <v>5</v>
      </c>
      <c r="K87" t="s">
        <v>6</v>
      </c>
      <c r="L87" t="s">
        <v>7</v>
      </c>
      <c r="M87" t="s">
        <v>8</v>
      </c>
      <c r="N87" t="s">
        <v>9</v>
      </c>
      <c r="O87" s="11" t="s">
        <v>187</v>
      </c>
    </row>
    <row r="88" spans="2:15">
      <c r="B88" t="s">
        <v>109</v>
      </c>
      <c r="C88">
        <v>30.3</v>
      </c>
      <c r="D88">
        <v>27.633333333333336</v>
      </c>
      <c r="E88">
        <v>31.966666666666665</v>
      </c>
      <c r="F88">
        <v>33.033333333333331</v>
      </c>
      <c r="G88">
        <v>36.466666666666661</v>
      </c>
      <c r="H88">
        <v>36.5</v>
      </c>
      <c r="I88">
        <f>(37+39+40+40)/4</f>
        <v>39</v>
      </c>
      <c r="J88">
        <f>(41+40.25+41+39.5)/4</f>
        <v>40.4375</v>
      </c>
      <c r="K88">
        <f>(45.5+41.5+42+39)/4</f>
        <v>42</v>
      </c>
      <c r="L88">
        <v>45.85</v>
      </c>
      <c r="M88">
        <v>42.37</v>
      </c>
      <c r="N88">
        <v>45.91</v>
      </c>
      <c r="O88" s="226">
        <f>AVERAGE(C88:N88)</f>
        <v>37.622291666666662</v>
      </c>
    </row>
    <row r="89" spans="2:15">
      <c r="B89" t="s">
        <v>110</v>
      </c>
      <c r="C89">
        <v>21</v>
      </c>
      <c r="D89">
        <v>18.333333333333332</v>
      </c>
      <c r="E89">
        <v>22.666666666666668</v>
      </c>
      <c r="F89">
        <v>23.666666666666668</v>
      </c>
      <c r="G89">
        <v>27.166666666666668</v>
      </c>
      <c r="H89">
        <v>25</v>
      </c>
      <c r="I89">
        <f>(23+25+26+26)/4</f>
        <v>25</v>
      </c>
      <c r="J89">
        <f>(27+26.25+27+25.5)/4</f>
        <v>26.4375</v>
      </c>
      <c r="K89">
        <f>(31.5+27.5+28+25)/4</f>
        <v>28</v>
      </c>
      <c r="L89">
        <v>31.87</v>
      </c>
      <c r="M89">
        <v>28.37</v>
      </c>
      <c r="N89">
        <v>31.33</v>
      </c>
      <c r="O89" s="226">
        <f>AVERAGE(C89:N89)</f>
        <v>25.73673611111111</v>
      </c>
    </row>
    <row r="90" spans="2:15">
      <c r="B90" t="s">
        <v>111</v>
      </c>
      <c r="C90">
        <v>39.75</v>
      </c>
      <c r="D90">
        <v>37.833333333333336</v>
      </c>
      <c r="E90">
        <v>39.166666666666664</v>
      </c>
      <c r="F90">
        <v>39.5</v>
      </c>
      <c r="G90">
        <v>38.5</v>
      </c>
      <c r="H90">
        <v>37.5</v>
      </c>
      <c r="I90">
        <f>(39.5+45.5+42+39.5)/4</f>
        <v>41.625</v>
      </c>
      <c r="J90">
        <f>(47.5+52.5+50.5+55.5)/4</f>
        <v>51.5</v>
      </c>
      <c r="K90">
        <f>(53+53.5+57.5+51.5)/4</f>
        <v>53.875</v>
      </c>
      <c r="L90">
        <f>(47.5+46+48.5+52.5)/4</f>
        <v>48.625</v>
      </c>
      <c r="M90">
        <v>49.25</v>
      </c>
      <c r="N90">
        <v>52.66</v>
      </c>
      <c r="O90" s="226">
        <f>AVERAGE(C90:N90)</f>
        <v>44.14875</v>
      </c>
    </row>
    <row r="91" spans="2:15">
      <c r="B91" t="s">
        <v>112</v>
      </c>
      <c r="C91">
        <v>36.25</v>
      </c>
      <c r="D91">
        <v>34.333333333333336</v>
      </c>
      <c r="E91">
        <v>35.666666666666664</v>
      </c>
      <c r="F91">
        <v>36</v>
      </c>
      <c r="G91">
        <v>35</v>
      </c>
      <c r="H91">
        <v>36</v>
      </c>
      <c r="I91">
        <f>(42+38+41+44)/4</f>
        <v>41.25</v>
      </c>
      <c r="J91">
        <f>(47+52+50+55)/4</f>
        <v>51</v>
      </c>
      <c r="K91">
        <f>(53+53.5+57+51)/4</f>
        <v>53.625</v>
      </c>
      <c r="L91">
        <f>(46+47+48+52)/4</f>
        <v>48.25</v>
      </c>
      <c r="M91">
        <v>49.25</v>
      </c>
      <c r="N91">
        <v>52.16</v>
      </c>
      <c r="O91" s="226">
        <f>AVERAGE(C91:N91)</f>
        <v>42.39875</v>
      </c>
    </row>
    <row r="92" spans="2:15">
      <c r="O92" s="226"/>
    </row>
    <row r="93" spans="2:15" ht="12" customHeight="1">
      <c r="B93" s="11">
        <v>2007</v>
      </c>
      <c r="O93" s="226"/>
    </row>
    <row r="94" spans="2:15">
      <c r="C94" t="s">
        <v>14</v>
      </c>
      <c r="D94" t="s">
        <v>0</v>
      </c>
      <c r="E94" t="s">
        <v>1</v>
      </c>
      <c r="F94" t="s">
        <v>2</v>
      </c>
      <c r="G94" t="s">
        <v>3</v>
      </c>
      <c r="H94" t="s">
        <v>4</v>
      </c>
      <c r="I94" t="s">
        <v>15</v>
      </c>
      <c r="J94" t="s">
        <v>5</v>
      </c>
      <c r="K94" t="s">
        <v>6</v>
      </c>
      <c r="L94" t="s">
        <v>7</v>
      </c>
      <c r="M94" t="s">
        <v>8</v>
      </c>
      <c r="N94" t="s">
        <v>9</v>
      </c>
      <c r="O94" s="11" t="s">
        <v>187</v>
      </c>
    </row>
    <row r="95" spans="2:15">
      <c r="B95" t="s">
        <v>212</v>
      </c>
      <c r="C95">
        <v>46.19</v>
      </c>
      <c r="D95">
        <v>44.31</v>
      </c>
      <c r="E95">
        <v>51.44</v>
      </c>
      <c r="F95">
        <v>56.44</v>
      </c>
      <c r="G95">
        <v>66.75</v>
      </c>
      <c r="H95" s="47">
        <f>(63.75+62.75+62.25+62.5)/4</f>
        <v>62.8125</v>
      </c>
      <c r="I95">
        <f>(65+67+63+62.5)/4</f>
        <v>64.375</v>
      </c>
      <c r="J95">
        <f>(75.5+63+65+62.5)/4</f>
        <v>66.5</v>
      </c>
      <c r="K95">
        <f>(75.5+78.5+78.5)/3</f>
        <v>77.5</v>
      </c>
      <c r="L95">
        <f>+(80.5+85.5+90.5+80.5)/4</f>
        <v>84.25</v>
      </c>
      <c r="M95">
        <f>(90.5+88.5+89.5+86.5)/4</f>
        <v>88.75</v>
      </c>
      <c r="N95">
        <f>(87.5+87.5+88.5+87.5)/4</f>
        <v>87.75</v>
      </c>
      <c r="O95" s="226">
        <f>AVERAGE(C95:N95)</f>
        <v>66.422291666666666</v>
      </c>
    </row>
    <row r="96" spans="2:15">
      <c r="B96" t="s">
        <v>110</v>
      </c>
      <c r="C96">
        <v>32.19</v>
      </c>
      <c r="D96">
        <v>30.31</v>
      </c>
      <c r="E96">
        <v>37.44</v>
      </c>
      <c r="F96">
        <v>42.44</v>
      </c>
      <c r="G96">
        <v>52.75</v>
      </c>
      <c r="H96">
        <f>(49.75+48.75+48.25+48.5)/4</f>
        <v>48.8125</v>
      </c>
      <c r="I96">
        <f>(48.5+49+51+53)/4</f>
        <v>50.375</v>
      </c>
      <c r="J96">
        <f>(61.5+49+51+48.5)/4</f>
        <v>52.5</v>
      </c>
      <c r="K96">
        <f>(61.5+64.5+64.5)/3</f>
        <v>63.5</v>
      </c>
      <c r="L96">
        <f>+(66.5+66.5+71.5+76.5)/4</f>
        <v>70.25</v>
      </c>
      <c r="M96">
        <f>+(76.5+75.5+72.5+74.5)/4</f>
        <v>74.75</v>
      </c>
      <c r="N96">
        <f>(74.5+73.5+73.58+73.5)/4</f>
        <v>73.77</v>
      </c>
      <c r="O96" s="226">
        <f>AVERAGE(C96:N96)</f>
        <v>52.423958333333331</v>
      </c>
    </row>
    <row r="97" spans="2:15">
      <c r="B97" t="s">
        <v>111</v>
      </c>
      <c r="C97">
        <v>54.5</v>
      </c>
      <c r="D97">
        <v>57.5</v>
      </c>
      <c r="E97">
        <v>59.5</v>
      </c>
      <c r="F97">
        <v>62.5</v>
      </c>
      <c r="G97">
        <v>66.5</v>
      </c>
      <c r="H97">
        <f>(63.5+63.5+60.5+61.5)/4</f>
        <v>62.25</v>
      </c>
      <c r="I97">
        <f>(62.5+62.5+71.5+74.5)/4</f>
        <v>67.75</v>
      </c>
      <c r="J97">
        <f>(85.5+62.5+71.5+62.5)/4</f>
        <v>70.5</v>
      </c>
      <c r="K97">
        <f>(91.5+91.5+86.5)/3</f>
        <v>89.833333333333329</v>
      </c>
      <c r="L97">
        <f>+(94.5+97.5+102.5+103.5)/4</f>
        <v>99.5</v>
      </c>
      <c r="M97">
        <f>+(103.5+104.5+106.5+109.5)/4</f>
        <v>106</v>
      </c>
      <c r="N97">
        <f>(119.5+118.5+116.5+116)/4</f>
        <v>117.625</v>
      </c>
      <c r="O97" s="226">
        <f>AVERAGE(C97:N97)</f>
        <v>76.163194444444443</v>
      </c>
    </row>
    <row r="98" spans="2:15">
      <c r="B98" t="s">
        <v>112</v>
      </c>
      <c r="C98">
        <v>54</v>
      </c>
      <c r="D98">
        <v>57</v>
      </c>
      <c r="E98">
        <v>59</v>
      </c>
      <c r="F98">
        <v>62</v>
      </c>
      <c r="G98">
        <v>66</v>
      </c>
      <c r="H98">
        <f>(63+63+60+61)/4</f>
        <v>61.75</v>
      </c>
      <c r="I98">
        <f>(62+62+72+75)/4</f>
        <v>67.75</v>
      </c>
      <c r="J98">
        <f>(86+62+72+62)/4</f>
        <v>70.5</v>
      </c>
      <c r="K98">
        <f>(87+92+92)/3</f>
        <v>90.333333333333329</v>
      </c>
      <c r="L98">
        <f>+(95+98+103+104)/4</f>
        <v>100</v>
      </c>
      <c r="M98">
        <f>+(110+107+105+104)/4</f>
        <v>106.5</v>
      </c>
      <c r="N98">
        <f>(115+114+112+112)/4</f>
        <v>113.25</v>
      </c>
      <c r="O98" s="226">
        <f>AVERAGE(C98:N98)</f>
        <v>75.673611111111114</v>
      </c>
    </row>
    <row r="99" spans="2:15">
      <c r="O99" s="226"/>
    </row>
    <row r="100" spans="2:15">
      <c r="O100" s="226"/>
    </row>
    <row r="101" spans="2:15">
      <c r="B101" s="11">
        <v>2008</v>
      </c>
      <c r="C101" t="s">
        <v>14</v>
      </c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15</v>
      </c>
      <c r="J101" t="s">
        <v>5</v>
      </c>
      <c r="K101" t="s">
        <v>6</v>
      </c>
      <c r="L101" t="s">
        <v>7</v>
      </c>
      <c r="M101" t="s">
        <v>8</v>
      </c>
      <c r="N101" t="s">
        <v>9</v>
      </c>
      <c r="O101" s="11" t="s">
        <v>187</v>
      </c>
    </row>
    <row r="102" spans="2:15">
      <c r="B102" t="s">
        <v>212</v>
      </c>
      <c r="C102">
        <f>(83+83.5+89.5+89.5)/4</f>
        <v>86.375</v>
      </c>
      <c r="D102">
        <f>(80+82+79+81)/4</f>
        <v>80.5</v>
      </c>
      <c r="E102">
        <f>(80+81+86+86)/4</f>
        <v>83.25</v>
      </c>
      <c r="F102">
        <f>(85+82+84+87)/4</f>
        <v>84.5</v>
      </c>
      <c r="G102">
        <f>(90+97+99+102)/4</f>
        <v>97</v>
      </c>
      <c r="H102">
        <f>(110+110+106+106)/4</f>
        <v>108</v>
      </c>
      <c r="I102">
        <f>(105+96+94+95)/4</f>
        <v>97.5</v>
      </c>
      <c r="J102">
        <f>(90+90+93+96)/4</f>
        <v>92.25</v>
      </c>
      <c r="K102">
        <f>(70+77+77+80)/4</f>
        <v>76</v>
      </c>
      <c r="L102">
        <v>49.2</v>
      </c>
      <c r="M102">
        <v>32.75</v>
      </c>
      <c r="N102">
        <v>27.75</v>
      </c>
      <c r="O102" s="226">
        <f>AVERAGE(C102:N102)</f>
        <v>76.256250000000009</v>
      </c>
    </row>
    <row r="103" spans="2:15">
      <c r="B103" t="s">
        <v>110</v>
      </c>
      <c r="C103">
        <f>(70+69.5+75.5)/3</f>
        <v>71.666666666666671</v>
      </c>
      <c r="D103">
        <f>(67+69+66+68)/4</f>
        <v>67.5</v>
      </c>
      <c r="E103">
        <f>(67+68+73+73)/4</f>
        <v>70.25</v>
      </c>
      <c r="F103">
        <f>(74+72+69+71)/4</f>
        <v>71.5</v>
      </c>
      <c r="G103">
        <f>(77+84+86+89)/4</f>
        <v>84</v>
      </c>
      <c r="H103">
        <f>(93+93+97+97)/4</f>
        <v>95</v>
      </c>
      <c r="I103">
        <f>(82+81+83+92)/4</f>
        <v>84.5</v>
      </c>
      <c r="J103">
        <f>(82+80+77+77)/4</f>
        <v>79</v>
      </c>
      <c r="K103">
        <f>(57+64+67+67)/4</f>
        <v>63.75</v>
      </c>
      <c r="L103">
        <v>36.200000000000003</v>
      </c>
      <c r="M103">
        <v>22.75</v>
      </c>
      <c r="N103">
        <v>18.75</v>
      </c>
      <c r="O103" s="226">
        <f>AVERAGE(C103:N103)</f>
        <v>63.738888888888901</v>
      </c>
    </row>
    <row r="104" spans="2:15">
      <c r="B104" t="s">
        <v>111</v>
      </c>
      <c r="C104">
        <f>(107+112.5+118.5+119.5)/4</f>
        <v>114.375</v>
      </c>
      <c r="D104">
        <f>(112+112+107+107)/4</f>
        <v>109.5</v>
      </c>
      <c r="E104">
        <f>(112+117+116+115)/4</f>
        <v>115</v>
      </c>
      <c r="F104">
        <f>(122+117+113+114)/4</f>
        <v>116.5</v>
      </c>
      <c r="G104">
        <f>(127+132+137+136)/4</f>
        <v>133</v>
      </c>
      <c r="H104">
        <f>(137+137+122+127)/4</f>
        <v>130.75</v>
      </c>
      <c r="I104">
        <f>(127+128+127+126)/4</f>
        <v>127</v>
      </c>
      <c r="J104">
        <f>(117+120+125+126)/4</f>
        <v>122</v>
      </c>
      <c r="K104">
        <f>(93+98+102+112)/4</f>
        <v>101.25</v>
      </c>
      <c r="L104">
        <v>50.4</v>
      </c>
      <c r="M104">
        <v>34.75</v>
      </c>
      <c r="N104">
        <v>31.75</v>
      </c>
      <c r="O104" s="226">
        <f>AVERAGE(C104:N104)</f>
        <v>98.856250000000003</v>
      </c>
    </row>
    <row r="105" spans="2:15">
      <c r="B105" t="s">
        <v>112</v>
      </c>
      <c r="C105">
        <f>(100+108+114+115)/4</f>
        <v>109.25</v>
      </c>
      <c r="D105">
        <f>(105+105+100+100)/4</f>
        <v>102.5</v>
      </c>
      <c r="E105">
        <f>(105+110+109+108)/4</f>
        <v>108</v>
      </c>
      <c r="F105">
        <f>(115+110+106+107)/4</f>
        <v>109.5</v>
      </c>
      <c r="G105">
        <f>(120+125+130+129)/4</f>
        <v>126</v>
      </c>
      <c r="H105">
        <f>(120+115+130+130)/4</f>
        <v>123.75</v>
      </c>
      <c r="I105">
        <f>(119+120+121+120)/4</f>
        <v>120</v>
      </c>
      <c r="J105">
        <f>(119+118+113+110)/4</f>
        <v>115</v>
      </c>
      <c r="K105">
        <f>(86+91+95+105)/4</f>
        <v>94.25</v>
      </c>
      <c r="L105">
        <v>43.4</v>
      </c>
      <c r="M105">
        <v>27.75</v>
      </c>
      <c r="N105">
        <v>24.75</v>
      </c>
      <c r="O105" s="226">
        <f>AVERAGE(C105:N105)</f>
        <v>92.012500000000003</v>
      </c>
    </row>
    <row r="106" spans="2:15">
      <c r="O106" s="226"/>
    </row>
    <row r="109" spans="2:15">
      <c r="B109" s="11">
        <v>2009</v>
      </c>
      <c r="C109" t="s">
        <v>14</v>
      </c>
      <c r="D109" t="s">
        <v>0</v>
      </c>
      <c r="E109" t="s">
        <v>1</v>
      </c>
      <c r="F109" t="s">
        <v>2</v>
      </c>
      <c r="G109" t="s">
        <v>3</v>
      </c>
      <c r="H109" t="s">
        <v>4</v>
      </c>
      <c r="I109" t="s">
        <v>15</v>
      </c>
      <c r="J109" t="s">
        <v>5</v>
      </c>
      <c r="K109" t="s">
        <v>6</v>
      </c>
      <c r="L109" t="s">
        <v>7</v>
      </c>
      <c r="M109" t="s">
        <v>8</v>
      </c>
      <c r="N109" t="s">
        <v>9</v>
      </c>
      <c r="O109" s="11" t="s">
        <v>187</v>
      </c>
    </row>
    <row r="110" spans="2:15">
      <c r="B110" t="s">
        <v>212</v>
      </c>
      <c r="C110">
        <f>(23+23+26+24+27)/5</f>
        <v>24.6</v>
      </c>
      <c r="D110">
        <v>30.5</v>
      </c>
      <c r="E110">
        <v>37.67</v>
      </c>
      <c r="F110">
        <v>37</v>
      </c>
      <c r="G110">
        <v>35.25</v>
      </c>
      <c r="H110">
        <v>34.75</v>
      </c>
      <c r="I110">
        <v>35</v>
      </c>
      <c r="J110">
        <v>33.25</v>
      </c>
      <c r="K110">
        <v>30.6</v>
      </c>
      <c r="L110">
        <v>30</v>
      </c>
      <c r="M110">
        <v>33</v>
      </c>
      <c r="N110">
        <f>(33+33+34+33)/4</f>
        <v>33.25</v>
      </c>
      <c r="O110" s="226">
        <f>AVERAGE(C110:N110)</f>
        <v>32.905833333333334</v>
      </c>
    </row>
    <row r="111" spans="2:15">
      <c r="B111" t="s">
        <v>110</v>
      </c>
      <c r="C111">
        <f>(14+14+17+15+18)/5</f>
        <v>15.6</v>
      </c>
      <c r="D111">
        <v>21.5</v>
      </c>
      <c r="E111">
        <v>33.33</v>
      </c>
      <c r="F111">
        <v>29.25</v>
      </c>
      <c r="G111">
        <v>30.25</v>
      </c>
      <c r="H111">
        <v>30.75</v>
      </c>
      <c r="I111">
        <v>32</v>
      </c>
      <c r="J111">
        <v>30.25</v>
      </c>
      <c r="K111">
        <v>30</v>
      </c>
      <c r="L111">
        <v>31.75</v>
      </c>
      <c r="M111">
        <v>35.5</v>
      </c>
      <c r="N111">
        <f>(36+36+37+36)/4</f>
        <v>36.25</v>
      </c>
      <c r="O111" s="226">
        <f>AVERAGE(C111:N111)</f>
        <v>29.702500000000001</v>
      </c>
    </row>
    <row r="112" spans="2:15">
      <c r="B112" t="s">
        <v>111</v>
      </c>
      <c r="C112">
        <f>(31+31+31.5+32+34)/5</f>
        <v>31.9</v>
      </c>
      <c r="D112">
        <v>47.5</v>
      </c>
      <c r="E112">
        <v>49.67</v>
      </c>
      <c r="F112">
        <v>49.75</v>
      </c>
      <c r="G112">
        <v>55.5</v>
      </c>
      <c r="H112">
        <v>62</v>
      </c>
      <c r="I112">
        <v>63.25</v>
      </c>
      <c r="J112">
        <v>64.75</v>
      </c>
      <c r="K112">
        <v>64</v>
      </c>
      <c r="L112">
        <v>65</v>
      </c>
      <c r="M112">
        <v>69</v>
      </c>
      <c r="N112">
        <f>(72+72+71+71)/4</f>
        <v>71.5</v>
      </c>
      <c r="O112" s="226">
        <f>AVERAGE(C112:N112)</f>
        <v>57.818333333333328</v>
      </c>
    </row>
    <row r="113" spans="2:15">
      <c r="B113" t="s">
        <v>112</v>
      </c>
      <c r="C113">
        <f>(24+24+24.5+25+27)/5</f>
        <v>24.9</v>
      </c>
      <c r="D113">
        <v>40.5</v>
      </c>
      <c r="E113">
        <v>46.33</v>
      </c>
      <c r="F113">
        <v>40.75</v>
      </c>
      <c r="G113">
        <v>47.25</v>
      </c>
      <c r="H113">
        <v>55</v>
      </c>
      <c r="I113">
        <v>56.25</v>
      </c>
      <c r="J113">
        <v>56.75</v>
      </c>
      <c r="K113">
        <v>56</v>
      </c>
      <c r="L113">
        <v>58</v>
      </c>
      <c r="M113">
        <v>63.75</v>
      </c>
      <c r="N113">
        <f>(69+69+68+68)/4</f>
        <v>68.5</v>
      </c>
      <c r="O113" s="226">
        <f>AVERAGE(C113:N113)</f>
        <v>51.164999999999999</v>
      </c>
    </row>
    <row r="116" spans="2:15">
      <c r="B116" s="11">
        <v>2012</v>
      </c>
      <c r="C116" t="s">
        <v>14</v>
      </c>
      <c r="D116" t="s">
        <v>0</v>
      </c>
      <c r="E116" t="s">
        <v>1</v>
      </c>
      <c r="F116" t="s">
        <v>2</v>
      </c>
      <c r="G116" t="s">
        <v>3</v>
      </c>
      <c r="H116" t="s">
        <v>4</v>
      </c>
      <c r="I116" t="s">
        <v>15</v>
      </c>
      <c r="J116" t="s">
        <v>5</v>
      </c>
      <c r="K116" t="s">
        <v>6</v>
      </c>
      <c r="L116" t="s">
        <v>7</v>
      </c>
      <c r="M116" t="s">
        <v>8</v>
      </c>
      <c r="N116" t="s">
        <v>9</v>
      </c>
      <c r="O116" t="s">
        <v>272</v>
      </c>
    </row>
    <row r="117" spans="2:15">
      <c r="B117" t="s">
        <v>212</v>
      </c>
      <c r="C117">
        <f>(34+30)/2</f>
        <v>32</v>
      </c>
      <c r="D117">
        <f>(30+29+29+28)/4</f>
        <v>29</v>
      </c>
      <c r="E117">
        <v>31</v>
      </c>
      <c r="F117" s="562">
        <v>34</v>
      </c>
      <c r="G117" s="47">
        <f>(35+34+34+33+32)/5</f>
        <v>33.6</v>
      </c>
      <c r="H117">
        <f>(32+32+32+33)/4</f>
        <v>32.25</v>
      </c>
      <c r="I117" s="47">
        <f>(33+33+31)/3</f>
        <v>32.333333333333336</v>
      </c>
      <c r="J117" s="562">
        <v>28</v>
      </c>
      <c r="K117" s="47">
        <f>(27+26+26)/3</f>
        <v>26.333333333333332</v>
      </c>
      <c r="L117">
        <f>(26+27+28+27)/4</f>
        <v>27</v>
      </c>
      <c r="M117" s="47">
        <f>(26+25+26+28)/4</f>
        <v>26.25</v>
      </c>
      <c r="N117">
        <v>27</v>
      </c>
      <c r="O117" s="47">
        <f>AVERAGE(C117:N117)</f>
        <v>29.897222222222222</v>
      </c>
    </row>
    <row r="118" spans="2:15">
      <c r="B118" t="s">
        <v>110</v>
      </c>
      <c r="C118" s="47">
        <f>(27+24+22)/3</f>
        <v>24.333333333333332</v>
      </c>
      <c r="D118">
        <f>(21+21+21+20)/4</f>
        <v>20.75</v>
      </c>
      <c r="E118">
        <v>21</v>
      </c>
      <c r="F118" s="562">
        <v>23</v>
      </c>
      <c r="G118" s="47">
        <f>(22+23+22+21+20)/5</f>
        <v>21.6</v>
      </c>
      <c r="H118">
        <f>(20+20+21+21)/4</f>
        <v>20.5</v>
      </c>
      <c r="I118" s="47">
        <f>(21+20+20)/3</f>
        <v>20.333333333333332</v>
      </c>
      <c r="J118" s="562">
        <f>(18+18)/2</f>
        <v>18</v>
      </c>
      <c r="K118" s="47">
        <f>(17+16+16)/3</f>
        <v>16.333333333333332</v>
      </c>
      <c r="L118">
        <f>(16+17+18+17)/4</f>
        <v>17</v>
      </c>
      <c r="M118" s="47">
        <f>(16+16+17+20)/4</f>
        <v>17.25</v>
      </c>
      <c r="N118">
        <v>19</v>
      </c>
      <c r="O118" s="47">
        <f>AVERAGE(C118:N118)</f>
        <v>19.925000000000001</v>
      </c>
    </row>
    <row r="119" spans="2:15">
      <c r="B119" t="s">
        <v>111</v>
      </c>
      <c r="C119" s="47">
        <f>(62.5+56+59)/3</f>
        <v>59.166666666666664</v>
      </c>
      <c r="D119">
        <v>55</v>
      </c>
      <c r="E119">
        <v>55</v>
      </c>
      <c r="F119" s="562">
        <v>54</v>
      </c>
      <c r="G119" s="47">
        <f>(57+52+57+57+56)/5</f>
        <v>55.8</v>
      </c>
      <c r="H119">
        <f>(56+56+56+56)/4</f>
        <v>56</v>
      </c>
      <c r="I119" s="47">
        <f>(56+55+55)/3</f>
        <v>55.333333333333336</v>
      </c>
      <c r="J119">
        <f>(52+51)/2</f>
        <v>51.5</v>
      </c>
      <c r="K119" s="47">
        <f>(51+51+50)/3</f>
        <v>50.666666666666664</v>
      </c>
      <c r="L119" s="47">
        <f>(50+51+51+50)/4</f>
        <v>50.5</v>
      </c>
      <c r="M119">
        <f>(49+49+49+48)/4</f>
        <v>48.75</v>
      </c>
      <c r="N119">
        <v>47</v>
      </c>
      <c r="O119" s="47">
        <f>AVERAGE(C119:N119)</f>
        <v>53.226388888888891</v>
      </c>
    </row>
    <row r="120" spans="2:15">
      <c r="B120" t="s">
        <v>112</v>
      </c>
      <c r="C120" s="47">
        <f>(52+54+57)/3</f>
        <v>54.333333333333336</v>
      </c>
      <c r="D120">
        <f>(50+49+49+48)/4</f>
        <v>49</v>
      </c>
      <c r="E120">
        <v>51</v>
      </c>
      <c r="F120" s="562">
        <v>52</v>
      </c>
      <c r="G120" s="47">
        <f>(52+53+52+52+51)/5</f>
        <v>52</v>
      </c>
      <c r="H120">
        <f>(51+51+51+52)/4</f>
        <v>51.25</v>
      </c>
      <c r="I120" s="47">
        <f>(53+52+62)/3</f>
        <v>55.666666666666664</v>
      </c>
      <c r="J120" s="562">
        <v>47</v>
      </c>
      <c r="K120" s="47">
        <f>(47+47+46)/3</f>
        <v>46.666666666666664</v>
      </c>
      <c r="L120" s="47">
        <f>(46+47+47+46)/4</f>
        <v>46.5</v>
      </c>
      <c r="M120">
        <f>(44+44+44+43)/4</f>
        <v>43.75</v>
      </c>
      <c r="N120">
        <v>42</v>
      </c>
      <c r="O120" s="47">
        <f>AVERAGE(C120:N120)</f>
        <v>49.263888888888893</v>
      </c>
    </row>
    <row r="123" spans="2:15">
      <c r="B123" s="11">
        <v>2010</v>
      </c>
      <c r="C123" t="s">
        <v>14</v>
      </c>
      <c r="D123" t="s">
        <v>0</v>
      </c>
      <c r="E123" t="s">
        <v>1</v>
      </c>
      <c r="F123" t="s">
        <v>2</v>
      </c>
      <c r="G123" t="s">
        <v>3</v>
      </c>
      <c r="H123" t="s">
        <v>4</v>
      </c>
      <c r="I123" t="s">
        <v>15</v>
      </c>
      <c r="J123" t="s">
        <v>5</v>
      </c>
      <c r="K123" t="s">
        <v>6</v>
      </c>
      <c r="L123" t="s">
        <v>7</v>
      </c>
      <c r="M123" t="s">
        <v>8</v>
      </c>
      <c r="N123" t="s">
        <v>9</v>
      </c>
      <c r="O123" t="s">
        <v>272</v>
      </c>
    </row>
    <row r="124" spans="2:15">
      <c r="B124" t="s">
        <v>212</v>
      </c>
      <c r="C124">
        <f>(35+35+33+34)/4</f>
        <v>34.25</v>
      </c>
      <c r="D124">
        <f>(32+32+32+33)/4</f>
        <v>32.25</v>
      </c>
      <c r="E124">
        <f>(37+38+37+36+33)/5</f>
        <v>36.200000000000003</v>
      </c>
      <c r="F124">
        <f>(37+38+38+37)/4</f>
        <v>37.5</v>
      </c>
      <c r="G124">
        <f>(41+41+39+38)/4</f>
        <v>39.75</v>
      </c>
      <c r="H124">
        <f>(37+37+38+39+40)/5</f>
        <v>38.200000000000003</v>
      </c>
      <c r="I124">
        <f>(35+33+33+36+36)/5</f>
        <v>34.6</v>
      </c>
      <c r="J124">
        <f>(36+36+37+38+37)/5</f>
        <v>36.799999999999997</v>
      </c>
      <c r="K124">
        <f>(38+38+37+36+35)/5</f>
        <v>36.799999999999997</v>
      </c>
      <c r="L124">
        <f>(34+35+35+35+35)/5</f>
        <v>34.799999999999997</v>
      </c>
      <c r="M124">
        <f>(34+34+33+30+32)/5</f>
        <v>32.6</v>
      </c>
      <c r="N124">
        <f>(31+31+32+32)/4</f>
        <v>31.5</v>
      </c>
      <c r="O124">
        <f>AVERAGE(C124:N124)</f>
        <v>35.4375</v>
      </c>
    </row>
    <row r="125" spans="2:15">
      <c r="B125" t="s">
        <v>110</v>
      </c>
      <c r="C125">
        <f>(38+38+36+38)/4</f>
        <v>37.5</v>
      </c>
      <c r="D125">
        <f>(36+36+36+35)/4</f>
        <v>35.75</v>
      </c>
      <c r="E125">
        <f>(37+39+38+37+36)/5</f>
        <v>37.4</v>
      </c>
      <c r="F125">
        <f>(37+38+38+37)/4</f>
        <v>37.5</v>
      </c>
      <c r="G125">
        <f>(41+41+39+38)/4</f>
        <v>39.75</v>
      </c>
      <c r="H125">
        <f>(34+34+37+39+40)/5</f>
        <v>36.799999999999997</v>
      </c>
      <c r="I125">
        <f>(31+31+30+30+32)/5</f>
        <v>30.8</v>
      </c>
      <c r="J125">
        <f>(32+32+32+31+31)/5</f>
        <v>31.6</v>
      </c>
      <c r="K125">
        <f>(31+32+33+33+29)/5</f>
        <v>31.6</v>
      </c>
      <c r="L125">
        <f>(27+26+26+29+29)/5</f>
        <v>27.4</v>
      </c>
      <c r="M125">
        <f>(27+27+26+25+27)/5</f>
        <v>26.4</v>
      </c>
      <c r="N125">
        <f>(26+26+27+27)/4</f>
        <v>26.5</v>
      </c>
      <c r="O125">
        <f>AVERAGE(C125:N125)</f>
        <v>33.25</v>
      </c>
    </row>
    <row r="126" spans="2:15">
      <c r="B126" t="s">
        <v>111</v>
      </c>
      <c r="C126">
        <f>(77+74+74+76)/4</f>
        <v>75.25</v>
      </c>
      <c r="D126">
        <f>(74+74+73+72)/4</f>
        <v>73.25</v>
      </c>
      <c r="E126">
        <f>(76+78+75+74+73)/5</f>
        <v>75.2</v>
      </c>
      <c r="F126">
        <f>(74+74+76+76)/4</f>
        <v>75</v>
      </c>
      <c r="G126">
        <f>(76+76+76+76)/4</f>
        <v>76</v>
      </c>
      <c r="H126">
        <f>(75+75+75+75+75)/5</f>
        <v>75</v>
      </c>
      <c r="I126">
        <f>(69+68+68+68+68)/5</f>
        <v>68.2</v>
      </c>
      <c r="J126">
        <f>(68+68+68+68+68)/5</f>
        <v>68</v>
      </c>
      <c r="K126">
        <f>(68+68+68+68+68)/5</f>
        <v>68</v>
      </c>
      <c r="L126">
        <f>(68+68+66+76+64)/5</f>
        <v>68.400000000000006</v>
      </c>
      <c r="M126">
        <f>(64+64+63+63+63)/5</f>
        <v>63.4</v>
      </c>
      <c r="N126">
        <f>(61+62+63+63)/4</f>
        <v>62.25</v>
      </c>
      <c r="O126">
        <f>AVERAGE(C126:N126)</f>
        <v>70.662499999999994</v>
      </c>
    </row>
    <row r="127" spans="2:15">
      <c r="B127" t="s">
        <v>112</v>
      </c>
      <c r="C127">
        <f>(71+71+74+75)/4</f>
        <v>72.75</v>
      </c>
      <c r="D127">
        <f>(70+69+67+66)/4</f>
        <v>68</v>
      </c>
      <c r="E127">
        <f>(70+72+69+68+67)/5</f>
        <v>69.2</v>
      </c>
      <c r="F127">
        <f>(70+70+72+70)/4</f>
        <v>70.5</v>
      </c>
      <c r="G127">
        <f>(74+74+72+71)/4</f>
        <v>72.75</v>
      </c>
      <c r="H127">
        <f>(63+65+70+76+76)/5</f>
        <v>70</v>
      </c>
      <c r="I127">
        <f>(58+53+53+55+55)/5</f>
        <v>54.8</v>
      </c>
      <c r="J127">
        <f>(58+58+58+56+55)/5</f>
        <v>57</v>
      </c>
      <c r="K127">
        <f>(61+63+64+62+60)/5</f>
        <v>62</v>
      </c>
      <c r="L127">
        <f>(56+58+58+59+60)/5</f>
        <v>58.2</v>
      </c>
      <c r="M127">
        <f>(56+55+54+53+54)/5</f>
        <v>54.4</v>
      </c>
      <c r="N127">
        <f>(55+54+55+55)/4</f>
        <v>54.75</v>
      </c>
      <c r="O127">
        <f>AVERAGE(C127:N127)</f>
        <v>63.695833333333333</v>
      </c>
    </row>
    <row r="130" spans="2:15">
      <c r="B130" s="11">
        <v>2013</v>
      </c>
      <c r="C130" t="s">
        <v>14</v>
      </c>
      <c r="D130" t="s">
        <v>0</v>
      </c>
      <c r="E130" t="s">
        <v>1</v>
      </c>
      <c r="F130" t="s">
        <v>2</v>
      </c>
      <c r="G130" t="s">
        <v>3</v>
      </c>
      <c r="H130" t="s">
        <v>4</v>
      </c>
      <c r="I130" t="s">
        <v>15</v>
      </c>
      <c r="J130" t="s">
        <v>5</v>
      </c>
      <c r="K130" t="s">
        <v>6</v>
      </c>
      <c r="L130" t="s">
        <v>7</v>
      </c>
      <c r="M130" t="s">
        <v>8</v>
      </c>
      <c r="N130" t="s">
        <v>9</v>
      </c>
      <c r="O130" t="s">
        <v>272</v>
      </c>
    </row>
    <row r="131" spans="2:15">
      <c r="B131" t="s">
        <v>212</v>
      </c>
      <c r="C131" s="47">
        <f>(26+27+26)/3</f>
        <v>26.333333333333332</v>
      </c>
      <c r="D131">
        <f>(26+27+28+28)/4</f>
        <v>27.25</v>
      </c>
      <c r="E131">
        <f>(29+30)/2</f>
        <v>29.5</v>
      </c>
      <c r="F131" s="562">
        <v>31</v>
      </c>
      <c r="G131" s="562">
        <v>35</v>
      </c>
      <c r="H131" s="562">
        <v>31.75</v>
      </c>
      <c r="I131" s="47">
        <v>33.75</v>
      </c>
      <c r="J131" s="562">
        <v>31.25</v>
      </c>
      <c r="K131" s="47">
        <v>30</v>
      </c>
      <c r="L131" s="47">
        <v>32</v>
      </c>
      <c r="M131" s="47">
        <v>31</v>
      </c>
      <c r="N131" s="47">
        <v>33</v>
      </c>
      <c r="O131" s="47">
        <f>AVERAGE(C131:N131)</f>
        <v>30.986111111111111</v>
      </c>
    </row>
    <row r="132" spans="2:15">
      <c r="B132" t="s">
        <v>110</v>
      </c>
      <c r="C132">
        <f>(18+19)/2</f>
        <v>18.5</v>
      </c>
      <c r="D132">
        <f>(19+20+21+21)/4</f>
        <v>20.25</v>
      </c>
      <c r="E132">
        <f>(22+23)/2</f>
        <v>22.5</v>
      </c>
      <c r="F132" s="562">
        <v>24</v>
      </c>
      <c r="G132" s="562">
        <v>25</v>
      </c>
      <c r="H132" s="562">
        <v>22</v>
      </c>
      <c r="I132" s="47">
        <v>22.75</v>
      </c>
      <c r="J132" s="562">
        <v>21.25</v>
      </c>
      <c r="K132" s="47">
        <v>22</v>
      </c>
      <c r="L132" s="569">
        <v>24.5</v>
      </c>
      <c r="M132" s="47">
        <v>24.5</v>
      </c>
      <c r="N132" s="47">
        <v>27</v>
      </c>
      <c r="O132" s="47">
        <f>AVERAGE(C132:N132)</f>
        <v>22.854166666666668</v>
      </c>
    </row>
    <row r="133" spans="2:15">
      <c r="B133" t="s">
        <v>111</v>
      </c>
      <c r="C133">
        <f>(48+48)/2</f>
        <v>48</v>
      </c>
      <c r="D133">
        <f>(48+48+48+49)/4</f>
        <v>48.25</v>
      </c>
      <c r="E133">
        <f>(49+50)/2</f>
        <v>49.5</v>
      </c>
      <c r="F133" s="562">
        <v>51</v>
      </c>
      <c r="G133" s="47">
        <v>50</v>
      </c>
      <c r="H133" s="47">
        <v>49.5</v>
      </c>
      <c r="I133" s="47">
        <v>51.75</v>
      </c>
      <c r="J133" s="47">
        <v>50.25</v>
      </c>
      <c r="K133" s="47">
        <v>50</v>
      </c>
      <c r="L133" s="47">
        <v>55</v>
      </c>
      <c r="M133" s="47">
        <v>57</v>
      </c>
      <c r="N133" s="47">
        <v>59</v>
      </c>
      <c r="O133" s="47">
        <f>AVERAGE(C133:N133)</f>
        <v>51.604166666666664</v>
      </c>
    </row>
    <row r="134" spans="2:15">
      <c r="B134" t="s">
        <v>112</v>
      </c>
      <c r="C134">
        <f>(42+44+43)/3</f>
        <v>43</v>
      </c>
      <c r="D134" s="47">
        <f>(43+44+44+45)/4</f>
        <v>44</v>
      </c>
      <c r="E134">
        <f>(45+46)/2</f>
        <v>45.5</v>
      </c>
      <c r="F134" s="562">
        <v>47</v>
      </c>
      <c r="G134" s="47">
        <v>45</v>
      </c>
      <c r="H134" s="47">
        <v>44.75</v>
      </c>
      <c r="I134" s="47">
        <v>46</v>
      </c>
      <c r="J134" s="562">
        <v>44.25</v>
      </c>
      <c r="K134" s="47">
        <v>45.25</v>
      </c>
      <c r="L134" s="47">
        <v>51.5</v>
      </c>
      <c r="M134" s="47">
        <v>52</v>
      </c>
      <c r="N134" s="47">
        <v>56</v>
      </c>
      <c r="O134" s="47">
        <f>AVERAGE(C134:N134)</f>
        <v>47.020833333333336</v>
      </c>
    </row>
  </sheetData>
  <phoneticPr fontId="36" type="noConversion"/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5"/>
  <sheetViews>
    <sheetView tabSelected="1" zoomScale="70" zoomScaleNormal="70" workbookViewId="0">
      <selection activeCell="D7" sqref="D7:I32"/>
    </sheetView>
  </sheetViews>
  <sheetFormatPr baseColWidth="10" defaultRowHeight="12.75"/>
  <cols>
    <col min="1" max="1" width="15.140625" customWidth="1"/>
    <col min="2" max="2" width="21.140625" customWidth="1"/>
    <col min="3" max="3" width="20.140625" bestFit="1" customWidth="1"/>
    <col min="4" max="4" width="15" bestFit="1" customWidth="1"/>
    <col min="11" max="11" width="18.28515625" customWidth="1"/>
    <col min="12" max="12" width="11.5703125" bestFit="1" customWidth="1"/>
  </cols>
  <sheetData>
    <row r="2" spans="2:9" ht="13.5" thickBot="1"/>
    <row r="3" spans="2:9" ht="12.75" customHeight="1">
      <c r="B3" s="596">
        <f ca="1">+TODAY()</f>
        <v>46322</v>
      </c>
      <c r="C3" s="597"/>
      <c r="D3" s="597"/>
      <c r="E3" s="597"/>
      <c r="F3" s="597"/>
      <c r="G3" s="597"/>
      <c r="H3" s="597"/>
      <c r="I3" s="598"/>
    </row>
    <row r="4" spans="2:9" ht="13.5" customHeight="1" thickBot="1">
      <c r="B4" s="599"/>
      <c r="C4" s="600"/>
      <c r="D4" s="600"/>
      <c r="E4" s="600"/>
      <c r="F4" s="600"/>
      <c r="G4" s="600"/>
      <c r="H4" s="600"/>
      <c r="I4" s="601"/>
    </row>
    <row r="5" spans="2:9" ht="15" thickBot="1">
      <c r="B5" s="605" t="s">
        <v>93</v>
      </c>
      <c r="C5" s="606"/>
      <c r="D5" s="609" t="s">
        <v>73</v>
      </c>
      <c r="E5" s="610"/>
      <c r="F5" s="610"/>
      <c r="G5" s="610"/>
      <c r="H5" s="610"/>
      <c r="I5" s="611"/>
    </row>
    <row r="6" spans="2:9" ht="15" thickBot="1">
      <c r="B6" s="607"/>
      <c r="C6" s="608"/>
      <c r="D6" s="572" t="s">
        <v>77</v>
      </c>
      <c r="E6" s="573" t="s">
        <v>78</v>
      </c>
      <c r="F6" s="573" t="s">
        <v>282</v>
      </c>
      <c r="G6" s="573" t="s">
        <v>283</v>
      </c>
      <c r="H6" s="573" t="s">
        <v>284</v>
      </c>
      <c r="I6" s="574" t="s">
        <v>285</v>
      </c>
    </row>
    <row r="7" spans="2:9" ht="16.5">
      <c r="B7" s="602" t="s">
        <v>300</v>
      </c>
      <c r="C7" s="575" t="s">
        <v>258</v>
      </c>
      <c r="D7" s="583">
        <v>29.645000000000003</v>
      </c>
      <c r="E7" s="584">
        <v>38.159999999999997</v>
      </c>
      <c r="F7" s="584">
        <v>23.708000000000002</v>
      </c>
      <c r="G7" s="584">
        <v>16.809999999999999</v>
      </c>
      <c r="H7" s="584">
        <v>32.29</v>
      </c>
      <c r="I7" s="585">
        <v>35.903333333333336</v>
      </c>
    </row>
    <row r="8" spans="2:9" ht="17.25" thickBot="1">
      <c r="B8" s="604"/>
      <c r="C8" s="576" t="s">
        <v>298</v>
      </c>
      <c r="D8" s="592">
        <v>38.44</v>
      </c>
      <c r="E8" s="593" t="s">
        <v>304</v>
      </c>
      <c r="F8" s="593" t="s">
        <v>304</v>
      </c>
      <c r="G8" s="593" t="s">
        <v>304</v>
      </c>
      <c r="H8" s="593" t="s">
        <v>304</v>
      </c>
      <c r="I8" s="594" t="s">
        <v>304</v>
      </c>
    </row>
    <row r="9" spans="2:9" ht="16.5">
      <c r="B9" s="602" t="s">
        <v>301</v>
      </c>
      <c r="C9" s="577" t="s">
        <v>78</v>
      </c>
      <c r="D9" s="583">
        <v>8.5749999999999993</v>
      </c>
      <c r="E9" s="584" t="s">
        <v>304</v>
      </c>
      <c r="F9" s="584" t="s">
        <v>304</v>
      </c>
      <c r="G9" s="584" t="s">
        <v>304</v>
      </c>
      <c r="H9" s="584" t="s">
        <v>304</v>
      </c>
      <c r="I9" s="585" t="s">
        <v>304</v>
      </c>
    </row>
    <row r="10" spans="2:9" ht="16.5">
      <c r="B10" s="603"/>
      <c r="C10" s="578" t="s">
        <v>297</v>
      </c>
      <c r="D10" s="586">
        <v>23.07</v>
      </c>
      <c r="E10" s="587">
        <v>13.75</v>
      </c>
      <c r="F10" s="587">
        <v>15.734999999999999</v>
      </c>
      <c r="G10" s="587">
        <v>26.11</v>
      </c>
      <c r="H10" s="587" t="s">
        <v>304</v>
      </c>
      <c r="I10" s="588" t="s">
        <v>304</v>
      </c>
    </row>
    <row r="11" spans="2:9" ht="17.25" thickBot="1">
      <c r="B11" s="604"/>
      <c r="C11" s="579" t="s">
        <v>292</v>
      </c>
      <c r="D11" s="592">
        <v>25.06</v>
      </c>
      <c r="E11" s="593">
        <v>18.059999999999999</v>
      </c>
      <c r="F11" s="593">
        <v>15.357999999999999</v>
      </c>
      <c r="G11" s="593">
        <v>20.039999999999996</v>
      </c>
      <c r="H11" s="593">
        <v>25.18</v>
      </c>
      <c r="I11" s="594">
        <v>24.1</v>
      </c>
    </row>
    <row r="12" spans="2:9" ht="16.5">
      <c r="B12" s="602" t="s">
        <v>91</v>
      </c>
      <c r="C12" s="577" t="s">
        <v>288</v>
      </c>
      <c r="D12" s="583">
        <v>46.295000000000002</v>
      </c>
      <c r="E12" s="584">
        <v>42.13</v>
      </c>
      <c r="F12" s="584">
        <v>56.682499999999997</v>
      </c>
      <c r="G12" s="584">
        <v>50.97</v>
      </c>
      <c r="H12" s="584">
        <v>25.81</v>
      </c>
      <c r="I12" s="585">
        <v>22</v>
      </c>
    </row>
    <row r="13" spans="2:9" ht="16.5">
      <c r="B13" s="603"/>
      <c r="C13" s="578" t="s">
        <v>257</v>
      </c>
      <c r="D13" s="586">
        <v>52.895000000000003</v>
      </c>
      <c r="E13" s="587">
        <v>51.01</v>
      </c>
      <c r="F13" s="587">
        <v>51.470999999999989</v>
      </c>
      <c r="G13" s="587">
        <v>33.429999999999993</v>
      </c>
      <c r="H13" s="587">
        <v>71.58</v>
      </c>
      <c r="I13" s="588">
        <v>71.569999999999993</v>
      </c>
    </row>
    <row r="14" spans="2:9" ht="16.5">
      <c r="B14" s="603"/>
      <c r="C14" s="578" t="s">
        <v>299</v>
      </c>
      <c r="D14" s="586">
        <v>60.9375</v>
      </c>
      <c r="E14" s="587">
        <v>54.206666666666671</v>
      </c>
      <c r="F14" s="587">
        <v>33.388333333333335</v>
      </c>
      <c r="G14" s="587">
        <v>35.695</v>
      </c>
      <c r="H14" s="587">
        <v>66.965000000000003</v>
      </c>
      <c r="I14" s="588">
        <v>60.13</v>
      </c>
    </row>
    <row r="15" spans="2:9" ht="16.5">
      <c r="B15" s="603"/>
      <c r="C15" s="578" t="s">
        <v>287</v>
      </c>
      <c r="D15" s="586">
        <v>43.19</v>
      </c>
      <c r="E15" s="587" t="s">
        <v>304</v>
      </c>
      <c r="F15" s="587" t="s">
        <v>304</v>
      </c>
      <c r="G15" s="587" t="s">
        <v>304</v>
      </c>
      <c r="H15" s="587" t="s">
        <v>304</v>
      </c>
      <c r="I15" s="588" t="s">
        <v>304</v>
      </c>
    </row>
    <row r="16" spans="2:9" ht="16.5">
      <c r="B16" s="603"/>
      <c r="C16" s="578" t="s">
        <v>273</v>
      </c>
      <c r="D16" s="586">
        <v>47.805000000000007</v>
      </c>
      <c r="E16" s="587">
        <v>43.834999999999994</v>
      </c>
      <c r="F16" s="587">
        <v>44.493333333333332</v>
      </c>
      <c r="G16" s="587">
        <v>24.18</v>
      </c>
      <c r="H16" s="587">
        <v>57.129999999999995</v>
      </c>
      <c r="I16" s="588">
        <v>42.93</v>
      </c>
    </row>
    <row r="17" spans="2:9" ht="16.5">
      <c r="B17" s="603"/>
      <c r="C17" s="578" t="s">
        <v>255</v>
      </c>
      <c r="D17" s="586">
        <v>39.630000000000003</v>
      </c>
      <c r="E17" s="587">
        <v>37.57</v>
      </c>
      <c r="F17" s="587" t="s">
        <v>304</v>
      </c>
      <c r="G17" s="587" t="s">
        <v>304</v>
      </c>
      <c r="H17" s="587" t="s">
        <v>304</v>
      </c>
      <c r="I17" s="588">
        <v>26.53</v>
      </c>
    </row>
    <row r="18" spans="2:9" ht="16.5">
      <c r="B18" s="603"/>
      <c r="C18" s="578" t="s">
        <v>256</v>
      </c>
      <c r="D18" s="586">
        <v>59.766666666666673</v>
      </c>
      <c r="E18" s="587">
        <v>58.983333333333327</v>
      </c>
      <c r="F18" s="587">
        <v>37.187142857142859</v>
      </c>
      <c r="G18" s="587">
        <v>35.938333333333333</v>
      </c>
      <c r="H18" s="587">
        <v>78.335000000000008</v>
      </c>
      <c r="I18" s="588">
        <v>30.37</v>
      </c>
    </row>
    <row r="19" spans="2:9" ht="16.5">
      <c r="B19" s="603"/>
      <c r="C19" s="578" t="s">
        <v>85</v>
      </c>
      <c r="D19" s="586">
        <v>40.97</v>
      </c>
      <c r="E19" s="587">
        <v>36.450000000000003</v>
      </c>
      <c r="F19" s="587" t="s">
        <v>304</v>
      </c>
      <c r="G19" s="587" t="s">
        <v>304</v>
      </c>
      <c r="H19" s="587" t="s">
        <v>304</v>
      </c>
      <c r="I19" s="588" t="s">
        <v>304</v>
      </c>
    </row>
    <row r="20" spans="2:9" ht="16.5">
      <c r="B20" s="603"/>
      <c r="C20" s="578" t="s">
        <v>289</v>
      </c>
      <c r="D20" s="586">
        <v>46.01</v>
      </c>
      <c r="E20" s="587">
        <v>46.085000000000001</v>
      </c>
      <c r="F20" s="587">
        <v>52.03</v>
      </c>
      <c r="G20" s="587">
        <v>71.97</v>
      </c>
      <c r="H20" s="587" t="s">
        <v>304</v>
      </c>
      <c r="I20" s="588" t="s">
        <v>304</v>
      </c>
    </row>
    <row r="21" spans="2:9" ht="16.5">
      <c r="B21" s="603"/>
      <c r="C21" s="578" t="s">
        <v>290</v>
      </c>
      <c r="D21" s="586">
        <v>60.650000000000006</v>
      </c>
      <c r="E21" s="587">
        <v>52.055</v>
      </c>
      <c r="F21" s="587">
        <v>36.522499999999994</v>
      </c>
      <c r="G21" s="587">
        <v>21.4</v>
      </c>
      <c r="H21" s="587">
        <v>60.74</v>
      </c>
      <c r="I21" s="588" t="s">
        <v>304</v>
      </c>
    </row>
    <row r="22" spans="2:9" ht="16.5">
      <c r="B22" s="603"/>
      <c r="C22" s="578" t="s">
        <v>286</v>
      </c>
      <c r="D22" s="586">
        <v>34.185000000000002</v>
      </c>
      <c r="E22" s="587">
        <v>23.787500000000001</v>
      </c>
      <c r="F22" s="587">
        <v>24.555</v>
      </c>
      <c r="G22" s="587" t="s">
        <v>304</v>
      </c>
      <c r="H22" s="587">
        <v>11.81</v>
      </c>
      <c r="I22" s="588">
        <v>6.4624999999999995</v>
      </c>
    </row>
    <row r="23" spans="2:9" ht="17.25" thickBot="1">
      <c r="B23" s="604"/>
      <c r="C23" s="579" t="s">
        <v>281</v>
      </c>
      <c r="D23" s="592">
        <v>44.24666666666667</v>
      </c>
      <c r="E23" s="593">
        <v>39.772499999999994</v>
      </c>
      <c r="F23" s="593">
        <v>35.356666666666662</v>
      </c>
      <c r="G23" s="593" t="s">
        <v>304</v>
      </c>
      <c r="H23" s="593">
        <v>52.63</v>
      </c>
      <c r="I23" s="594" t="s">
        <v>304</v>
      </c>
    </row>
    <row r="24" spans="2:9" ht="16.5">
      <c r="B24" s="602" t="s">
        <v>90</v>
      </c>
      <c r="C24" s="577" t="s">
        <v>294</v>
      </c>
      <c r="D24" s="583">
        <v>27.4</v>
      </c>
      <c r="E24" s="584">
        <v>20.67</v>
      </c>
      <c r="F24" s="584">
        <v>24.947499999999998</v>
      </c>
      <c r="G24" s="584" t="s">
        <v>304</v>
      </c>
      <c r="H24" s="584" t="s">
        <v>304</v>
      </c>
      <c r="I24" s="585" t="s">
        <v>304</v>
      </c>
    </row>
    <row r="25" spans="2:9" ht="16.5">
      <c r="B25" s="603"/>
      <c r="C25" s="578" t="s">
        <v>293</v>
      </c>
      <c r="D25" s="586">
        <v>41.79</v>
      </c>
      <c r="E25" s="587">
        <v>27.72</v>
      </c>
      <c r="F25" s="587">
        <v>27.327500000000001</v>
      </c>
      <c r="G25" s="587" t="s">
        <v>304</v>
      </c>
      <c r="H25" s="587" t="s">
        <v>304</v>
      </c>
      <c r="I25" s="588" t="s">
        <v>304</v>
      </c>
    </row>
    <row r="26" spans="2:9" ht="16.5">
      <c r="B26" s="603"/>
      <c r="C26" s="578" t="s">
        <v>296</v>
      </c>
      <c r="D26" s="586">
        <v>25.48</v>
      </c>
      <c r="E26" s="587">
        <v>19.829999999999998</v>
      </c>
      <c r="F26" s="587">
        <v>26.237500000000001</v>
      </c>
      <c r="G26" s="587" t="s">
        <v>304</v>
      </c>
      <c r="H26" s="587" t="s">
        <v>304</v>
      </c>
      <c r="I26" s="588" t="s">
        <v>304</v>
      </c>
    </row>
    <row r="27" spans="2:9" ht="16.5">
      <c r="B27" s="603"/>
      <c r="C27" s="578" t="s">
        <v>75</v>
      </c>
      <c r="D27" s="586">
        <v>25.040000000000003</v>
      </c>
      <c r="E27" s="587">
        <v>28.537499999999998</v>
      </c>
      <c r="F27" s="587">
        <v>35.609999999999992</v>
      </c>
      <c r="G27" s="587" t="s">
        <v>304</v>
      </c>
      <c r="H27" s="587" t="s">
        <v>304</v>
      </c>
      <c r="I27" s="588" t="s">
        <v>304</v>
      </c>
    </row>
    <row r="28" spans="2:9" ht="16.5">
      <c r="B28" s="603"/>
      <c r="C28" s="578" t="s">
        <v>127</v>
      </c>
      <c r="D28" s="586">
        <v>24.495000000000001</v>
      </c>
      <c r="E28" s="587">
        <v>21.945</v>
      </c>
      <c r="F28" s="587">
        <v>23.7075</v>
      </c>
      <c r="G28" s="587" t="s">
        <v>304</v>
      </c>
      <c r="H28" s="587" t="s">
        <v>304</v>
      </c>
      <c r="I28" s="588" t="s">
        <v>304</v>
      </c>
    </row>
    <row r="29" spans="2:9" ht="16.5">
      <c r="B29" s="603"/>
      <c r="C29" s="578" t="s">
        <v>100</v>
      </c>
      <c r="D29" s="586">
        <v>26.98</v>
      </c>
      <c r="E29" s="587">
        <v>23.73</v>
      </c>
      <c r="F29" s="587" t="s">
        <v>304</v>
      </c>
      <c r="G29" s="587" t="s">
        <v>304</v>
      </c>
      <c r="H29" s="587" t="s">
        <v>304</v>
      </c>
      <c r="I29" s="588" t="s">
        <v>304</v>
      </c>
    </row>
    <row r="30" spans="2:9" ht="16.5">
      <c r="B30" s="603"/>
      <c r="C30" s="578" t="s">
        <v>295</v>
      </c>
      <c r="D30" s="586">
        <v>27.1325</v>
      </c>
      <c r="E30" s="587">
        <v>23.366666666666671</v>
      </c>
      <c r="F30" s="587">
        <v>24.684999999999999</v>
      </c>
      <c r="G30" s="587">
        <v>25.23</v>
      </c>
      <c r="H30" s="587">
        <v>29.790000000000003</v>
      </c>
      <c r="I30" s="588">
        <v>9.5299999999999994</v>
      </c>
    </row>
    <row r="31" spans="2:9" ht="17.25" thickBot="1">
      <c r="B31" s="604"/>
      <c r="C31" s="579" t="s">
        <v>278</v>
      </c>
      <c r="D31" s="592">
        <v>31.69</v>
      </c>
      <c r="E31" s="593" t="s">
        <v>304</v>
      </c>
      <c r="F31" s="593" t="s">
        <v>304</v>
      </c>
      <c r="G31" s="593" t="s">
        <v>304</v>
      </c>
      <c r="H31" s="593" t="s">
        <v>304</v>
      </c>
      <c r="I31" s="594" t="s">
        <v>304</v>
      </c>
    </row>
    <row r="32" spans="2:9" ht="17.25" thickBot="1">
      <c r="B32" s="580" t="s">
        <v>302</v>
      </c>
      <c r="C32" s="581" t="s">
        <v>291</v>
      </c>
      <c r="D32" s="589">
        <v>47.95</v>
      </c>
      <c r="E32" s="590">
        <v>60.35</v>
      </c>
      <c r="F32" s="590">
        <v>54.54999999999999</v>
      </c>
      <c r="G32" s="590">
        <v>35.04</v>
      </c>
      <c r="H32" s="590">
        <v>25.364999999999998</v>
      </c>
      <c r="I32" s="591">
        <v>16.920000000000002</v>
      </c>
    </row>
    <row r="33" spans="2:9" ht="16.5">
      <c r="B33" s="582"/>
      <c r="C33" s="582"/>
      <c r="D33" s="582"/>
      <c r="E33" s="582"/>
      <c r="F33" s="582"/>
      <c r="G33" s="582"/>
      <c r="H33" s="582"/>
      <c r="I33" s="582"/>
    </row>
    <row r="34" spans="2:9" ht="14.25" customHeight="1">
      <c r="B34" s="595" t="s">
        <v>303</v>
      </c>
      <c r="C34" s="595"/>
      <c r="D34" s="595"/>
      <c r="E34" s="595"/>
      <c r="F34" s="595"/>
      <c r="G34" s="595"/>
      <c r="H34" s="595"/>
      <c r="I34" s="595"/>
    </row>
    <row r="35" spans="2:9">
      <c r="B35" s="595"/>
      <c r="C35" s="595"/>
      <c r="D35" s="595"/>
      <c r="E35" s="595"/>
      <c r="F35" s="595"/>
      <c r="G35" s="595"/>
      <c r="H35" s="595"/>
      <c r="I35" s="595"/>
    </row>
  </sheetData>
  <mergeCells count="8">
    <mergeCell ref="B34:I35"/>
    <mergeCell ref="B3:I4"/>
    <mergeCell ref="B24:B31"/>
    <mergeCell ref="B5:C6"/>
    <mergeCell ref="D5:I5"/>
    <mergeCell ref="B7:B8"/>
    <mergeCell ref="B9:B11"/>
    <mergeCell ref="B12:B2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2">
    <tabColor indexed="22"/>
  </sheetPr>
  <dimension ref="A3:E18"/>
  <sheetViews>
    <sheetView workbookViewId="0">
      <selection activeCell="D13" sqref="D13"/>
    </sheetView>
  </sheetViews>
  <sheetFormatPr baseColWidth="10" defaultRowHeight="12.75"/>
  <sheetData>
    <row r="3" spans="1:5">
      <c r="B3">
        <v>2005</v>
      </c>
      <c r="C3">
        <v>2006</v>
      </c>
    </row>
    <row r="4" spans="1:5" ht="12.75" customHeight="1" thickBot="1">
      <c r="A4" t="s">
        <v>23</v>
      </c>
      <c r="B4" s="244">
        <v>6.5484600807779861E-2</v>
      </c>
      <c r="C4" s="164">
        <v>6.3955302342732334E-2</v>
      </c>
    </row>
    <row r="5" spans="1:5" ht="12.75" customHeight="1" thickBot="1">
      <c r="A5" t="s">
        <v>199</v>
      </c>
      <c r="B5" s="244">
        <v>5.1540347186677438E-2</v>
      </c>
      <c r="C5" s="164">
        <v>5.9703332876785919E-2</v>
      </c>
    </row>
    <row r="6" spans="1:5" ht="12.75" customHeight="1" thickBot="1">
      <c r="A6" t="s">
        <v>200</v>
      </c>
      <c r="B6" s="244">
        <v>3.86670834266288E-2</v>
      </c>
      <c r="C6" s="164">
        <v>4.5600764212533944E-2</v>
      </c>
    </row>
    <row r="7" spans="1:5" ht="12.75" customHeight="1" thickBot="1">
      <c r="A7" t="s">
        <v>201</v>
      </c>
      <c r="B7" s="244">
        <v>4.6450691250586908E-2</v>
      </c>
      <c r="C7" s="164">
        <v>4.9349350158506056E-2</v>
      </c>
    </row>
    <row r="8" spans="1:5" ht="12.75" customHeight="1" thickBot="1">
      <c r="A8" t="s">
        <v>202</v>
      </c>
      <c r="B8" s="244">
        <v>3.4192523960219108E-2</v>
      </c>
      <c r="C8" s="164">
        <v>4.0175265229867335E-2</v>
      </c>
    </row>
    <row r="9" spans="1:5" ht="12.75" customHeight="1">
      <c r="A9" t="s">
        <v>203</v>
      </c>
      <c r="B9" s="240">
        <v>5.6542015821440979E-2</v>
      </c>
      <c r="C9" s="237">
        <v>6.100592196837179E-2</v>
      </c>
    </row>
    <row r="10" spans="1:5" ht="12.75" customHeight="1"/>
    <row r="11" spans="1:5" ht="12.75" customHeight="1"/>
    <row r="12" spans="1:5">
      <c r="B12">
        <v>2007</v>
      </c>
      <c r="C12">
        <v>2008</v>
      </c>
      <c r="D12">
        <v>2009</v>
      </c>
    </row>
    <row r="13" spans="1:5" ht="14.25">
      <c r="A13" t="s">
        <v>23</v>
      </c>
      <c r="B13" s="334">
        <v>8.7399999999999992E-2</v>
      </c>
      <c r="C13" s="334">
        <v>0.11</v>
      </c>
      <c r="E13" s="221"/>
    </row>
    <row r="14" spans="1:5" ht="14.25">
      <c r="A14" t="s">
        <v>199</v>
      </c>
      <c r="B14" s="221">
        <v>7.1999999999999995E-2</v>
      </c>
      <c r="C14" s="386">
        <v>7.7700000000000005E-2</v>
      </c>
      <c r="E14" s="221"/>
    </row>
    <row r="15" spans="1:5" ht="14.25">
      <c r="A15" t="s">
        <v>200</v>
      </c>
      <c r="B15" s="221">
        <v>4.4739999999999995E-2</v>
      </c>
      <c r="C15" s="386">
        <v>4.8399999999999999E-2</v>
      </c>
      <c r="E15" s="221"/>
    </row>
    <row r="16" spans="1:5" ht="14.25">
      <c r="A16" t="s">
        <v>201</v>
      </c>
      <c r="B16" s="221">
        <v>5.6000000000000001E-2</v>
      </c>
      <c r="C16" s="386">
        <v>7.6200000000000004E-2</v>
      </c>
      <c r="E16" s="221"/>
    </row>
    <row r="17" spans="1:5" ht="14.25">
      <c r="A17" t="s">
        <v>202</v>
      </c>
      <c r="B17" s="221">
        <v>4.5999999999999999E-2</v>
      </c>
      <c r="C17" s="386">
        <v>4.9299999999999997E-2</v>
      </c>
      <c r="E17" s="221"/>
    </row>
    <row r="18" spans="1:5" ht="14.25">
      <c r="A18" t="s">
        <v>203</v>
      </c>
      <c r="B18" s="221">
        <v>6.4000000000000001E-2</v>
      </c>
      <c r="C18" s="402">
        <v>7.7200000000000005E-2</v>
      </c>
      <c r="E18" s="221"/>
    </row>
  </sheetData>
  <phoneticPr fontId="36" type="noConversion"/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22"/>
  </sheetPr>
  <dimension ref="A2:D9"/>
  <sheetViews>
    <sheetView workbookViewId="0">
      <selection activeCell="C3" sqref="C3"/>
    </sheetView>
  </sheetViews>
  <sheetFormatPr baseColWidth="10" defaultRowHeight="12.75"/>
  <sheetData>
    <row r="2" spans="1:4">
      <c r="B2">
        <v>2007</v>
      </c>
      <c r="C2">
        <v>2008</v>
      </c>
    </row>
    <row r="3" spans="1:4" ht="15" thickBot="1">
      <c r="A3" t="s">
        <v>23</v>
      </c>
      <c r="B3" s="165">
        <v>7.3899999999999993E-2</v>
      </c>
      <c r="C3" s="165">
        <v>0.12939999999999999</v>
      </c>
      <c r="D3" s="168"/>
    </row>
    <row r="4" spans="1:4" ht="15" thickBot="1">
      <c r="A4" t="s">
        <v>199</v>
      </c>
      <c r="B4" s="165">
        <v>7.8700000000000006E-2</v>
      </c>
      <c r="C4" s="165">
        <v>9.0899999999999995E-2</v>
      </c>
      <c r="D4" s="168"/>
    </row>
    <row r="5" spans="1:4" ht="15" thickBot="1">
      <c r="A5" t="s">
        <v>200</v>
      </c>
      <c r="B5" s="165">
        <v>5.0999999999999997E-2</v>
      </c>
      <c r="C5" s="165">
        <v>6.9900000000000004E-2</v>
      </c>
      <c r="D5" s="168"/>
    </row>
    <row r="6" spans="1:4" ht="15" thickBot="1">
      <c r="A6" t="s">
        <v>201</v>
      </c>
      <c r="B6" s="165">
        <v>6.4600000000000005E-2</v>
      </c>
      <c r="C6" s="165">
        <v>0.08</v>
      </c>
      <c r="D6" s="168"/>
    </row>
    <row r="7" spans="1:4" ht="15" thickBot="1">
      <c r="A7" t="s">
        <v>202</v>
      </c>
      <c r="B7" s="165">
        <v>4.99E-2</v>
      </c>
      <c r="C7" s="165">
        <v>0.10743999999999999</v>
      </c>
      <c r="D7" s="168"/>
    </row>
    <row r="8" spans="1:4" ht="15" thickBot="1">
      <c r="A8" t="s">
        <v>203</v>
      </c>
      <c r="B8" s="165">
        <v>7.8299999999999995E-2</v>
      </c>
      <c r="C8" s="165">
        <v>8.6999999999999994E-2</v>
      </c>
      <c r="D8" s="168"/>
    </row>
    <row r="9" spans="1:4" ht="15.75" thickBot="1">
      <c r="C9" s="174"/>
    </row>
  </sheetData>
  <phoneticPr fontId="36" type="noConversion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2"/>
    <pageSetUpPr fitToPage="1"/>
  </sheetPr>
  <dimension ref="A1:W44"/>
  <sheetViews>
    <sheetView topLeftCell="D21" zoomScale="75" workbookViewId="0">
      <selection activeCell="C17" sqref="C17"/>
    </sheetView>
  </sheetViews>
  <sheetFormatPr baseColWidth="10" defaultRowHeight="12.75"/>
  <cols>
    <col min="1" max="1" width="36.7109375" customWidth="1"/>
    <col min="2" max="22" width="12.7109375" customWidth="1"/>
  </cols>
  <sheetData>
    <row r="1" spans="1:22" ht="20.25">
      <c r="A1" s="628" t="s">
        <v>16</v>
      </c>
      <c r="B1" s="628"/>
      <c r="C1" s="628"/>
      <c r="D1" s="628"/>
      <c r="E1" s="628"/>
      <c r="F1" s="628"/>
      <c r="G1" s="628"/>
      <c r="H1" s="628"/>
    </row>
    <row r="2" spans="1:22" ht="20.25">
      <c r="A2" s="629" t="s">
        <v>182</v>
      </c>
      <c r="B2" s="629"/>
      <c r="C2" s="629"/>
      <c r="D2" s="629"/>
      <c r="E2" s="629"/>
      <c r="F2" s="629"/>
      <c r="G2" s="629"/>
      <c r="H2" s="629"/>
    </row>
    <row r="3" spans="1:22" ht="21" thickBot="1">
      <c r="A3" s="143"/>
      <c r="C3" s="143"/>
      <c r="D3" s="143"/>
      <c r="E3" s="143"/>
      <c r="F3" s="143"/>
      <c r="G3" s="143"/>
    </row>
    <row r="4" spans="1:22" ht="34.5" customHeight="1" thickTop="1" thickBot="1">
      <c r="A4" s="12"/>
      <c r="B4" s="134"/>
      <c r="G4" s="630" t="e">
        <f>#REF!</f>
        <v>#REF!</v>
      </c>
      <c r="H4" s="631"/>
      <c r="I4" s="632"/>
      <c r="M4" s="616"/>
      <c r="N4" s="617"/>
      <c r="O4" s="617"/>
    </row>
    <row r="5" spans="1:22" ht="16.5" thickTop="1" thickBot="1">
      <c r="A5" s="295" t="s">
        <v>17</v>
      </c>
      <c r="B5" s="296"/>
      <c r="C5" s="297"/>
      <c r="G5" s="633" t="e">
        <f>#REF!</f>
        <v>#REF!</v>
      </c>
      <c r="H5" s="634"/>
      <c r="I5" s="635"/>
      <c r="M5" s="618"/>
      <c r="N5" s="618"/>
      <c r="O5" s="618"/>
    </row>
    <row r="6" spans="1:22" ht="15.75" thickTop="1">
      <c r="A6" s="298" t="s">
        <v>266</v>
      </c>
      <c r="B6" s="152"/>
      <c r="C6" s="299"/>
    </row>
    <row r="7" spans="1:22" ht="15.75" thickBot="1">
      <c r="A7" s="300" t="s">
        <v>251</v>
      </c>
      <c r="B7" s="301"/>
      <c r="C7" s="302"/>
      <c r="D7" s="135"/>
      <c r="E7" s="135"/>
      <c r="F7" s="135"/>
      <c r="G7" s="135"/>
    </row>
    <row r="8" spans="1:22">
      <c r="A8" s="1"/>
      <c r="B8" s="1"/>
      <c r="C8" s="1"/>
      <c r="D8" s="1"/>
      <c r="E8" s="1"/>
      <c r="F8" s="1"/>
      <c r="G8" s="1"/>
      <c r="H8" s="1"/>
    </row>
    <row r="9" spans="1:22">
      <c r="B9" s="1"/>
      <c r="D9" s="141"/>
      <c r="E9" s="141"/>
      <c r="F9" s="141"/>
      <c r="G9" s="141"/>
      <c r="H9" s="1"/>
    </row>
    <row r="10" spans="1:22" ht="13.5" thickBot="1">
      <c r="A10" s="1"/>
      <c r="B10" s="1"/>
      <c r="C10" s="1"/>
      <c r="E10" s="1"/>
      <c r="F10" s="1"/>
      <c r="G10" s="1"/>
      <c r="H10" s="1"/>
    </row>
    <row r="11" spans="1:22" ht="44.25" customHeight="1" thickBot="1">
      <c r="A11" s="613" t="s">
        <v>267</v>
      </c>
      <c r="B11" s="614"/>
      <c r="C11" s="614"/>
      <c r="D11" s="614"/>
      <c r="E11" s="614"/>
      <c r="F11" s="614"/>
      <c r="G11" s="614"/>
      <c r="H11" s="614"/>
      <c r="I11" s="614"/>
      <c r="J11" s="614"/>
      <c r="K11" s="614"/>
      <c r="L11" s="614"/>
      <c r="M11" s="614"/>
      <c r="N11" s="614"/>
      <c r="O11" s="614"/>
      <c r="P11" s="615"/>
      <c r="Q11" s="493"/>
      <c r="R11" s="493"/>
      <c r="S11" s="493"/>
      <c r="T11" s="493"/>
      <c r="U11" s="493"/>
      <c r="V11" s="493"/>
    </row>
    <row r="14" spans="1:22" ht="21" thickBot="1">
      <c r="G14" s="494" t="s">
        <v>74</v>
      </c>
      <c r="H14" s="494"/>
    </row>
    <row r="15" spans="1:22" ht="24.75" customHeight="1">
      <c r="A15" s="619"/>
      <c r="B15" s="621" t="s">
        <v>253</v>
      </c>
      <c r="C15" s="622"/>
      <c r="D15" s="623"/>
      <c r="E15" s="621" t="s">
        <v>254</v>
      </c>
      <c r="F15" s="622"/>
      <c r="G15" s="623"/>
      <c r="H15" s="621" t="s">
        <v>75</v>
      </c>
      <c r="I15" s="622"/>
      <c r="J15" s="623"/>
      <c r="K15" s="627" t="s">
        <v>76</v>
      </c>
      <c r="L15" s="622"/>
      <c r="M15" s="623"/>
      <c r="N15" s="612"/>
      <c r="O15" s="612"/>
      <c r="P15" s="612"/>
      <c r="Q15" s="612"/>
      <c r="R15" s="612"/>
      <c r="S15" s="612"/>
      <c r="T15" s="612"/>
      <c r="U15" s="612"/>
      <c r="V15" s="612"/>
    </row>
    <row r="16" spans="1:22" ht="24.75" customHeight="1">
      <c r="A16" s="620"/>
      <c r="B16" s="511">
        <v>39783</v>
      </c>
      <c r="C16" s="512">
        <v>40148</v>
      </c>
      <c r="D16" s="495" t="s">
        <v>214</v>
      </c>
      <c r="E16" s="511">
        <v>39783</v>
      </c>
      <c r="F16" s="512">
        <v>40148</v>
      </c>
      <c r="G16" s="495" t="s">
        <v>214</v>
      </c>
      <c r="H16" s="511">
        <v>39783</v>
      </c>
      <c r="I16" s="512">
        <v>40148</v>
      </c>
      <c r="J16" s="495" t="s">
        <v>214</v>
      </c>
      <c r="K16" s="511">
        <v>39783</v>
      </c>
      <c r="L16" s="512">
        <v>40148</v>
      </c>
      <c r="M16" s="495" t="s">
        <v>214</v>
      </c>
      <c r="N16" s="491"/>
      <c r="O16" s="491"/>
      <c r="P16" s="492"/>
      <c r="Q16" s="491"/>
      <c r="R16" s="491"/>
      <c r="S16" s="492"/>
      <c r="T16" s="491"/>
      <c r="U16" s="491"/>
      <c r="V16" s="492"/>
    </row>
    <row r="17" spans="1:23" ht="24.75" customHeight="1">
      <c r="A17" s="535" t="s">
        <v>77</v>
      </c>
      <c r="B17" s="499"/>
      <c r="C17" s="162"/>
      <c r="D17" s="496" t="e">
        <f>(C17-B17)/B17</f>
        <v>#DIV/0!</v>
      </c>
      <c r="E17" s="499"/>
      <c r="F17" s="162"/>
      <c r="G17" s="496" t="e">
        <f>(F17-E17)/E17</f>
        <v>#DIV/0!</v>
      </c>
      <c r="H17" s="499"/>
      <c r="I17" s="162"/>
      <c r="J17" s="496" t="e">
        <f>(I17-H17)/H17</f>
        <v>#DIV/0!</v>
      </c>
      <c r="K17" s="498"/>
      <c r="L17" s="162"/>
      <c r="M17" s="496" t="e">
        <f>(L17-K17)/K17</f>
        <v>#DIV/0!</v>
      </c>
      <c r="N17" s="225"/>
      <c r="O17" s="225"/>
      <c r="P17" s="376"/>
      <c r="Q17" s="225"/>
      <c r="R17" s="225"/>
      <c r="S17" s="376"/>
      <c r="T17" s="225"/>
      <c r="U17" s="225"/>
      <c r="V17" s="376"/>
    </row>
    <row r="18" spans="1:23" ht="24.75" customHeight="1">
      <c r="A18" s="535" t="s">
        <v>78</v>
      </c>
      <c r="B18" s="499"/>
      <c r="C18" s="162"/>
      <c r="D18" s="496" t="e">
        <f>(C18-B18)/B18</f>
        <v>#DIV/0!</v>
      </c>
      <c r="E18" s="499"/>
      <c r="F18" s="162"/>
      <c r="G18" s="496" t="e">
        <f>(F18-E18)/E18</f>
        <v>#DIV/0!</v>
      </c>
      <c r="H18" s="499"/>
      <c r="I18" s="162"/>
      <c r="J18" s="496" t="e">
        <f>(I18-H18)/H18</f>
        <v>#DIV/0!</v>
      </c>
      <c r="K18" s="498"/>
      <c r="L18" s="162"/>
      <c r="M18" s="496" t="e">
        <f>(L18-K18)/K18</f>
        <v>#DIV/0!</v>
      </c>
      <c r="N18" s="225"/>
      <c r="O18" s="225"/>
      <c r="P18" s="376"/>
      <c r="Q18" s="225"/>
      <c r="R18" s="225"/>
      <c r="S18" s="376"/>
      <c r="T18" s="225"/>
      <c r="U18" s="225"/>
      <c r="V18" s="376"/>
    </row>
    <row r="19" spans="1:23" ht="24.75" customHeight="1">
      <c r="A19" s="535" t="s">
        <v>79</v>
      </c>
      <c r="B19" s="499"/>
      <c r="C19" s="162"/>
      <c r="D19" s="496" t="e">
        <f>(C19-B19)/B19</f>
        <v>#DIV/0!</v>
      </c>
      <c r="E19" s="499"/>
      <c r="F19" s="162"/>
      <c r="G19" s="496" t="e">
        <f>(F19-E19)/E19</f>
        <v>#DIV/0!</v>
      </c>
      <c r="H19" s="499"/>
      <c r="I19" s="162"/>
      <c r="J19" s="496" t="e">
        <f>(I19-H19)/H19</f>
        <v>#DIV/0!</v>
      </c>
      <c r="K19" s="498"/>
      <c r="L19" s="162"/>
      <c r="M19" s="496" t="e">
        <f>(L19-K19)/K19</f>
        <v>#DIV/0!</v>
      </c>
      <c r="N19" s="225"/>
      <c r="O19" s="225"/>
      <c r="P19" s="376"/>
      <c r="Q19" s="225"/>
      <c r="R19" s="225"/>
      <c r="S19" s="376"/>
      <c r="T19" s="225"/>
      <c r="U19" s="225"/>
      <c r="V19" s="376"/>
    </row>
    <row r="20" spans="1:23" ht="24.75" customHeight="1">
      <c r="A20" s="536" t="s">
        <v>81</v>
      </c>
      <c r="B20" s="499" t="s">
        <v>189</v>
      </c>
      <c r="C20" s="162" t="s">
        <v>189</v>
      </c>
      <c r="D20" s="496" t="s">
        <v>189</v>
      </c>
      <c r="E20" s="499" t="s">
        <v>189</v>
      </c>
      <c r="F20" s="162" t="s">
        <v>189</v>
      </c>
      <c r="G20" s="496" t="s">
        <v>189</v>
      </c>
      <c r="H20" s="499" t="s">
        <v>189</v>
      </c>
      <c r="I20" s="162" t="s">
        <v>189</v>
      </c>
      <c r="J20" s="496" t="s">
        <v>189</v>
      </c>
      <c r="K20" s="499" t="s">
        <v>189</v>
      </c>
      <c r="L20" s="162" t="s">
        <v>189</v>
      </c>
      <c r="M20" s="496" t="s">
        <v>189</v>
      </c>
      <c r="N20" s="225"/>
      <c r="O20" s="225"/>
      <c r="P20" s="376"/>
      <c r="Q20" s="225"/>
      <c r="R20" s="225"/>
      <c r="S20" s="376"/>
      <c r="T20" s="225"/>
      <c r="U20" s="225"/>
      <c r="V20" s="376"/>
    </row>
    <row r="21" spans="1:23" ht="24.75" customHeight="1" thickBot="1">
      <c r="A21" s="537" t="s">
        <v>252</v>
      </c>
      <c r="B21" s="500"/>
      <c r="C21" s="164"/>
      <c r="D21" s="497" t="e">
        <f>(C21-B21)/B21</f>
        <v>#DIV/0!</v>
      </c>
      <c r="E21" s="500"/>
      <c r="F21" s="164"/>
      <c r="G21" s="497" t="e">
        <f>(F21-E21)/E21</f>
        <v>#DIV/0!</v>
      </c>
      <c r="H21" s="500"/>
      <c r="I21" s="164"/>
      <c r="J21" s="497" t="e">
        <f>(I21-H21)/H21</f>
        <v>#DIV/0!</v>
      </c>
      <c r="K21" s="244"/>
      <c r="L21" s="164"/>
      <c r="M21" s="497" t="e">
        <f>(L21-K21)/K21</f>
        <v>#DIV/0!</v>
      </c>
      <c r="N21" s="225"/>
      <c r="O21" s="225"/>
      <c r="P21" s="376"/>
      <c r="Q21" s="225"/>
      <c r="R21" s="225"/>
      <c r="S21" s="376"/>
      <c r="T21" s="225"/>
      <c r="U21" s="225"/>
      <c r="V21" s="376"/>
    </row>
    <row r="22" spans="1:23" ht="15">
      <c r="A22" s="490"/>
      <c r="B22" s="225"/>
      <c r="C22" s="225"/>
      <c r="D22" s="376"/>
      <c r="E22" s="225"/>
      <c r="F22" s="225"/>
      <c r="G22" s="376"/>
      <c r="H22" s="225"/>
      <c r="I22" s="225"/>
      <c r="J22" s="376"/>
      <c r="K22" s="225"/>
      <c r="L22" s="225"/>
      <c r="M22" s="376"/>
      <c r="N22" s="225"/>
      <c r="O22" s="225"/>
      <c r="P22" s="376"/>
      <c r="Q22" s="225"/>
      <c r="R22" s="225"/>
      <c r="S22" s="376"/>
      <c r="T22" s="225"/>
      <c r="U22" s="225"/>
      <c r="V22" s="376"/>
      <c r="W22" s="1"/>
    </row>
    <row r="23" spans="1:23" ht="15">
      <c r="A23" s="490"/>
      <c r="B23" s="225"/>
      <c r="C23" s="225"/>
      <c r="D23" s="376"/>
      <c r="E23" s="225"/>
      <c r="F23" s="225"/>
      <c r="G23" s="376"/>
      <c r="H23" s="225"/>
      <c r="I23" s="225"/>
      <c r="J23" s="376"/>
      <c r="K23" s="225"/>
      <c r="L23" s="225"/>
      <c r="M23" s="376"/>
      <c r="N23" s="225"/>
      <c r="O23" s="225"/>
      <c r="P23" s="376"/>
      <c r="Q23" s="225"/>
      <c r="R23" s="225"/>
      <c r="S23" s="376"/>
      <c r="T23" s="225"/>
      <c r="U23" s="225"/>
      <c r="V23" s="376"/>
      <c r="W23" s="1"/>
    </row>
    <row r="26" spans="1:23" ht="21" thickBot="1">
      <c r="G26" s="494" t="s">
        <v>84</v>
      </c>
      <c r="H26" s="494"/>
    </row>
    <row r="27" spans="1:23" ht="24.75" customHeight="1">
      <c r="A27" s="619"/>
      <c r="B27" s="624" t="s">
        <v>255</v>
      </c>
      <c r="C27" s="625"/>
      <c r="D27" s="626"/>
      <c r="E27" s="621" t="s">
        <v>85</v>
      </c>
      <c r="F27" s="622"/>
      <c r="G27" s="623"/>
      <c r="H27" s="621" t="s">
        <v>256</v>
      </c>
      <c r="I27" s="622"/>
      <c r="J27" s="623"/>
      <c r="K27" s="627" t="s">
        <v>257</v>
      </c>
      <c r="L27" s="622"/>
      <c r="M27" s="623"/>
      <c r="N27" s="612"/>
      <c r="O27" s="612"/>
      <c r="P27" s="612"/>
      <c r="Q27" s="612"/>
      <c r="R27" s="612"/>
      <c r="S27" s="612"/>
      <c r="T27" s="612"/>
      <c r="U27" s="612"/>
      <c r="V27" s="612"/>
    </row>
    <row r="28" spans="1:23" ht="24.75" customHeight="1">
      <c r="A28" s="620"/>
      <c r="B28" s="511">
        <v>39783</v>
      </c>
      <c r="C28" s="512">
        <v>40148</v>
      </c>
      <c r="D28" s="495" t="s">
        <v>214</v>
      </c>
      <c r="E28" s="511">
        <v>39783</v>
      </c>
      <c r="F28" s="512">
        <v>40148</v>
      </c>
      <c r="G28" s="495" t="s">
        <v>214</v>
      </c>
      <c r="H28" s="511">
        <v>39783</v>
      </c>
      <c r="I28" s="512">
        <v>40148</v>
      </c>
      <c r="J28" s="495" t="s">
        <v>214</v>
      </c>
      <c r="K28" s="511">
        <v>39783</v>
      </c>
      <c r="L28" s="512">
        <v>40148</v>
      </c>
      <c r="M28" s="495" t="s">
        <v>214</v>
      </c>
      <c r="N28" s="491"/>
      <c r="O28" s="491"/>
      <c r="P28" s="492"/>
      <c r="Q28" s="491"/>
      <c r="R28" s="491"/>
      <c r="S28" s="492"/>
      <c r="T28" s="491"/>
      <c r="U28" s="491"/>
      <c r="V28" s="492"/>
    </row>
    <row r="29" spans="1:23" ht="24.75" customHeight="1">
      <c r="A29" s="535" t="s">
        <v>77</v>
      </c>
      <c r="B29" s="499"/>
      <c r="C29" s="162"/>
      <c r="D29" s="496" t="e">
        <f>(C29-B29)/B29</f>
        <v>#DIV/0!</v>
      </c>
      <c r="E29" s="499"/>
      <c r="F29" s="162"/>
      <c r="G29" s="496" t="e">
        <f>(F29-E29)/E29</f>
        <v>#DIV/0!</v>
      </c>
      <c r="H29" s="499"/>
      <c r="I29" s="162"/>
      <c r="J29" s="496" t="e">
        <f>(I29-H29)/H29</f>
        <v>#DIV/0!</v>
      </c>
      <c r="K29" s="498"/>
      <c r="L29" s="162"/>
      <c r="M29" s="496" t="e">
        <f>(L29-K29)/K29</f>
        <v>#DIV/0!</v>
      </c>
      <c r="N29" s="225"/>
      <c r="O29" s="225"/>
      <c r="P29" s="376"/>
      <c r="Q29" s="225"/>
      <c r="R29" s="225"/>
      <c r="S29" s="376"/>
      <c r="T29" s="225"/>
      <c r="U29" s="225"/>
      <c r="V29" s="376"/>
    </row>
    <row r="30" spans="1:23" ht="24.75" customHeight="1">
      <c r="A30" s="535" t="s">
        <v>78</v>
      </c>
      <c r="B30" s="499"/>
      <c r="C30" s="162"/>
      <c r="D30" s="496" t="e">
        <f>(C30-B30)/B30</f>
        <v>#DIV/0!</v>
      </c>
      <c r="E30" s="499"/>
      <c r="F30" s="162"/>
      <c r="G30" s="496" t="e">
        <f>(F30-E30)/E30</f>
        <v>#DIV/0!</v>
      </c>
      <c r="H30" s="499"/>
      <c r="I30" s="162"/>
      <c r="J30" s="496" t="e">
        <f>(I30-H30)/H30</f>
        <v>#DIV/0!</v>
      </c>
      <c r="K30" s="498"/>
      <c r="L30" s="162"/>
      <c r="M30" s="496" t="e">
        <f>(L30-K30)/K30</f>
        <v>#DIV/0!</v>
      </c>
      <c r="N30" s="225"/>
      <c r="O30" s="225"/>
      <c r="P30" s="376"/>
      <c r="Q30" s="225"/>
      <c r="R30" s="225"/>
      <c r="S30" s="376"/>
      <c r="T30" s="225"/>
      <c r="U30" s="225"/>
      <c r="V30" s="376"/>
    </row>
    <row r="31" spans="1:23" ht="24.75" customHeight="1">
      <c r="A31" s="535" t="s">
        <v>79</v>
      </c>
      <c r="B31" s="499"/>
      <c r="C31" s="162"/>
      <c r="D31" s="496" t="e">
        <f>(C31-B31)/B31</f>
        <v>#DIV/0!</v>
      </c>
      <c r="E31" s="499"/>
      <c r="F31" s="162"/>
      <c r="G31" s="496" t="e">
        <f>(F31-E31)/E31</f>
        <v>#DIV/0!</v>
      </c>
      <c r="H31" s="499"/>
      <c r="I31" s="162"/>
      <c r="J31" s="496" t="e">
        <f>(I31-H31)/H31</f>
        <v>#DIV/0!</v>
      </c>
      <c r="K31" s="498"/>
      <c r="L31" s="162"/>
      <c r="M31" s="496" t="e">
        <f>(L31-K31)/K31</f>
        <v>#DIV/0!</v>
      </c>
      <c r="N31" s="225"/>
      <c r="O31" s="225"/>
      <c r="P31" s="376"/>
      <c r="Q31" s="225"/>
      <c r="R31" s="225"/>
      <c r="S31" s="376"/>
      <c r="T31" s="225"/>
      <c r="U31" s="225"/>
      <c r="V31" s="376"/>
    </row>
    <row r="32" spans="1:23" ht="24.75" customHeight="1">
      <c r="A32" s="536" t="s">
        <v>81</v>
      </c>
      <c r="B32" s="499" t="s">
        <v>189</v>
      </c>
      <c r="C32" s="162" t="s">
        <v>189</v>
      </c>
      <c r="D32" s="496" t="s">
        <v>189</v>
      </c>
      <c r="E32" s="499"/>
      <c r="F32" s="162"/>
      <c r="G32" s="496" t="e">
        <f>(F32-E32)/E32</f>
        <v>#DIV/0!</v>
      </c>
      <c r="H32" s="499"/>
      <c r="I32" s="162"/>
      <c r="J32" s="496" t="e">
        <f>(I32-H32)/H32</f>
        <v>#DIV/0!</v>
      </c>
      <c r="K32" s="498"/>
      <c r="L32" s="162"/>
      <c r="M32" s="496" t="e">
        <f>(L32-K32)/K32</f>
        <v>#DIV/0!</v>
      </c>
      <c r="N32" s="225"/>
      <c r="O32" s="225"/>
      <c r="P32" s="376"/>
      <c r="Q32" s="225"/>
      <c r="R32" s="225"/>
      <c r="S32" s="376"/>
      <c r="T32" s="225"/>
      <c r="U32" s="225"/>
      <c r="V32" s="376"/>
    </row>
    <row r="33" spans="1:22" ht="24.75" customHeight="1" thickBot="1">
      <c r="A33" s="537" t="s">
        <v>252</v>
      </c>
      <c r="B33" s="500"/>
      <c r="C33" s="164"/>
      <c r="D33" s="497" t="e">
        <f>(C33-B33)/B33</f>
        <v>#DIV/0!</v>
      </c>
      <c r="E33" s="500"/>
      <c r="F33" s="164"/>
      <c r="G33" s="497" t="e">
        <f>(F33-E33)/E33</f>
        <v>#DIV/0!</v>
      </c>
      <c r="H33" s="500"/>
      <c r="I33" s="164"/>
      <c r="J33" s="497" t="e">
        <f>(I33-H33)/H33</f>
        <v>#DIV/0!</v>
      </c>
      <c r="K33" s="244"/>
      <c r="L33" s="164"/>
      <c r="M33" s="497" t="e">
        <f>(L33-K33)/K33</f>
        <v>#DIV/0!</v>
      </c>
      <c r="N33" s="225"/>
      <c r="O33" s="225"/>
      <c r="P33" s="376"/>
      <c r="Q33" s="225"/>
      <c r="R33" s="225"/>
      <c r="S33" s="376"/>
      <c r="T33" s="225"/>
      <c r="U33" s="225"/>
      <c r="V33" s="376"/>
    </row>
    <row r="35" spans="1:22">
      <c r="D35" s="506"/>
    </row>
    <row r="37" spans="1:22" ht="21" thickBot="1">
      <c r="G37" s="494" t="s">
        <v>86</v>
      </c>
      <c r="H37" s="494"/>
    </row>
    <row r="38" spans="1:22" ht="24.75" customHeight="1">
      <c r="A38" s="619"/>
      <c r="B38" s="621" t="s">
        <v>258</v>
      </c>
      <c r="C38" s="622"/>
      <c r="D38" s="623"/>
      <c r="E38" s="621" t="s">
        <v>259</v>
      </c>
      <c r="F38" s="622"/>
      <c r="G38" s="623"/>
      <c r="H38" s="621" t="s">
        <v>260</v>
      </c>
      <c r="I38" s="622"/>
      <c r="J38" s="623"/>
      <c r="K38" s="621" t="s">
        <v>261</v>
      </c>
      <c r="L38" s="622"/>
      <c r="M38" s="623"/>
      <c r="N38" s="627" t="s">
        <v>262</v>
      </c>
      <c r="O38" s="622"/>
      <c r="P38" s="623"/>
      <c r="Q38" s="612"/>
      <c r="R38" s="612"/>
      <c r="S38" s="612"/>
      <c r="T38" s="612"/>
      <c r="U38" s="612"/>
      <c r="V38" s="612"/>
    </row>
    <row r="39" spans="1:22" ht="24.75" customHeight="1">
      <c r="A39" s="620"/>
      <c r="B39" s="511">
        <v>39783</v>
      </c>
      <c r="C39" s="512">
        <v>40148</v>
      </c>
      <c r="D39" s="495" t="s">
        <v>214</v>
      </c>
      <c r="E39" s="511">
        <v>39783</v>
      </c>
      <c r="F39" s="512">
        <v>40148</v>
      </c>
      <c r="G39" s="495" t="s">
        <v>214</v>
      </c>
      <c r="H39" s="511">
        <v>39783</v>
      </c>
      <c r="I39" s="512">
        <v>40148</v>
      </c>
      <c r="J39" s="495" t="s">
        <v>214</v>
      </c>
      <c r="K39" s="511">
        <v>39783</v>
      </c>
      <c r="L39" s="512">
        <v>40148</v>
      </c>
      <c r="M39" s="495" t="s">
        <v>214</v>
      </c>
      <c r="N39" s="511">
        <v>39783</v>
      </c>
      <c r="O39" s="512">
        <v>40148</v>
      </c>
      <c r="P39" s="495" t="s">
        <v>214</v>
      </c>
      <c r="Q39" s="491"/>
      <c r="R39" s="491"/>
      <c r="S39" s="492"/>
      <c r="T39" s="491"/>
      <c r="U39" s="491"/>
      <c r="V39" s="492"/>
    </row>
    <row r="40" spans="1:22" ht="24.75" customHeight="1">
      <c r="A40" s="535" t="s">
        <v>77</v>
      </c>
      <c r="B40" s="499"/>
      <c r="C40" s="162"/>
      <c r="D40" s="496" t="e">
        <f>(C40-B40)/B40</f>
        <v>#DIV/0!</v>
      </c>
      <c r="E40" s="499"/>
      <c r="F40" s="162"/>
      <c r="G40" s="496" t="e">
        <f>(F40-E40)/E40</f>
        <v>#DIV/0!</v>
      </c>
      <c r="H40" s="499"/>
      <c r="I40" s="162"/>
      <c r="J40" s="496" t="e">
        <f>(I40-H40)/H40</f>
        <v>#DIV/0!</v>
      </c>
      <c r="K40" s="499"/>
      <c r="L40" s="162"/>
      <c r="M40" s="496" t="e">
        <f>(L40-K40)/K40</f>
        <v>#DIV/0!</v>
      </c>
      <c r="N40" s="498">
        <v>22.25</v>
      </c>
      <c r="O40" s="162">
        <v>31.75</v>
      </c>
      <c r="P40" s="496">
        <f>(O40-N40)/N40</f>
        <v>0.42696629213483145</v>
      </c>
      <c r="Q40" s="225"/>
      <c r="R40" s="225"/>
      <c r="S40" s="376"/>
      <c r="T40" s="225"/>
      <c r="U40" s="225"/>
      <c r="V40" s="376"/>
    </row>
    <row r="41" spans="1:22" ht="24.75" customHeight="1">
      <c r="A41" s="535" t="s">
        <v>78</v>
      </c>
      <c r="B41" s="499"/>
      <c r="C41" s="162"/>
      <c r="D41" s="496" t="e">
        <f>(C41-B41)/B41</f>
        <v>#DIV/0!</v>
      </c>
      <c r="E41" s="499" t="s">
        <v>189</v>
      </c>
      <c r="F41" s="162" t="s">
        <v>189</v>
      </c>
      <c r="G41" s="496" t="s">
        <v>189</v>
      </c>
      <c r="H41" s="499" t="s">
        <v>189</v>
      </c>
      <c r="I41" s="162" t="s">
        <v>189</v>
      </c>
      <c r="J41" s="496" t="s">
        <v>189</v>
      </c>
      <c r="K41" s="499"/>
      <c r="L41" s="162"/>
      <c r="M41" s="496" t="e">
        <f>(L41-K41)/K41</f>
        <v>#DIV/0!</v>
      </c>
      <c r="N41" s="498">
        <v>13.75</v>
      </c>
      <c r="O41" s="162">
        <v>46.25</v>
      </c>
      <c r="P41" s="496">
        <f>(O41-N41)/N41</f>
        <v>2.3636363636363638</v>
      </c>
      <c r="Q41" s="225"/>
      <c r="R41" s="225"/>
      <c r="S41" s="376"/>
      <c r="T41" s="225"/>
      <c r="U41" s="225"/>
      <c r="V41" s="376"/>
    </row>
    <row r="42" spans="1:22" ht="24.75" customHeight="1">
      <c r="A42" s="535" t="s">
        <v>79</v>
      </c>
      <c r="B42" s="499"/>
      <c r="C42" s="162"/>
      <c r="D42" s="496" t="e">
        <f>(C42-B42)/B42</f>
        <v>#DIV/0!</v>
      </c>
      <c r="E42" s="499"/>
      <c r="F42" s="162"/>
      <c r="G42" s="496" t="e">
        <f>(F42-E42)/E42</f>
        <v>#DIV/0!</v>
      </c>
      <c r="H42" s="499"/>
      <c r="I42" s="162"/>
      <c r="J42" s="496" t="e">
        <f>(I42-H42)/H42</f>
        <v>#DIV/0!</v>
      </c>
      <c r="K42" s="499"/>
      <c r="L42" s="162"/>
      <c r="M42" s="496" t="e">
        <f>(L42-K42)/K42</f>
        <v>#DIV/0!</v>
      </c>
      <c r="N42" s="498">
        <v>24.75</v>
      </c>
      <c r="O42" s="162">
        <v>47</v>
      </c>
      <c r="P42" s="496">
        <f>(O42-N42)/N42</f>
        <v>0.89898989898989901</v>
      </c>
      <c r="Q42" s="225"/>
      <c r="R42" s="225"/>
      <c r="S42" s="376"/>
      <c r="T42" s="225"/>
      <c r="U42" s="225"/>
      <c r="V42" s="376"/>
    </row>
    <row r="43" spans="1:22" ht="24.75" customHeight="1">
      <c r="A43" s="536" t="s">
        <v>81</v>
      </c>
      <c r="B43" s="499"/>
      <c r="C43" s="162"/>
      <c r="D43" s="496" t="e">
        <f>(C43-B43)/B43</f>
        <v>#DIV/0!</v>
      </c>
      <c r="E43" s="499" t="s">
        <v>189</v>
      </c>
      <c r="F43" s="162" t="s">
        <v>189</v>
      </c>
      <c r="G43" s="496" t="s">
        <v>189</v>
      </c>
      <c r="H43" s="499" t="s">
        <v>189</v>
      </c>
      <c r="I43" s="162" t="s">
        <v>189</v>
      </c>
      <c r="J43" s="496" t="s">
        <v>189</v>
      </c>
      <c r="K43" s="499" t="s">
        <v>189</v>
      </c>
      <c r="L43" s="162" t="s">
        <v>189</v>
      </c>
      <c r="M43" s="496" t="s">
        <v>189</v>
      </c>
      <c r="N43" s="499" t="s">
        <v>189</v>
      </c>
      <c r="O43" s="162" t="s">
        <v>189</v>
      </c>
      <c r="P43" s="496" t="s">
        <v>189</v>
      </c>
      <c r="Q43" s="225"/>
      <c r="R43" s="225"/>
      <c r="S43" s="376"/>
      <c r="T43" s="225"/>
      <c r="U43" s="225"/>
      <c r="V43" s="376"/>
    </row>
    <row r="44" spans="1:22" ht="24.75" customHeight="1" thickBot="1">
      <c r="A44" s="537" t="s">
        <v>252</v>
      </c>
      <c r="B44" s="500"/>
      <c r="C44" s="164"/>
      <c r="D44" s="497" t="e">
        <f>(C44-B44)/B44</f>
        <v>#DIV/0!</v>
      </c>
      <c r="E44" s="500"/>
      <c r="F44" s="164"/>
      <c r="G44" s="497" t="e">
        <f>(F44-E44)/E44</f>
        <v>#DIV/0!</v>
      </c>
      <c r="H44" s="500"/>
      <c r="I44" s="164"/>
      <c r="J44" s="497" t="e">
        <f>(I44-H44)/H44</f>
        <v>#DIV/0!</v>
      </c>
      <c r="K44" s="500"/>
      <c r="L44" s="164"/>
      <c r="M44" s="497" t="e">
        <f>(L44-K44)/K44</f>
        <v>#DIV/0!</v>
      </c>
      <c r="N44" s="244">
        <v>14.75</v>
      </c>
      <c r="O44" s="164">
        <v>46.75</v>
      </c>
      <c r="P44" s="497">
        <f>(O44-N44)/N44</f>
        <v>2.1694915254237288</v>
      </c>
      <c r="Q44" s="225"/>
      <c r="R44" s="225"/>
      <c r="S44" s="376"/>
      <c r="T44" s="225"/>
      <c r="U44" s="225"/>
      <c r="V44" s="376"/>
    </row>
  </sheetData>
  <mergeCells count="31">
    <mergeCell ref="N38:P38"/>
    <mergeCell ref="Q38:S38"/>
    <mergeCell ref="E38:G38"/>
    <mergeCell ref="A27:A28"/>
    <mergeCell ref="A1:H1"/>
    <mergeCell ref="A2:H2"/>
    <mergeCell ref="G4:I4"/>
    <mergeCell ref="G5:I5"/>
    <mergeCell ref="A15:A16"/>
    <mergeCell ref="B15:D15"/>
    <mergeCell ref="E15:G15"/>
    <mergeCell ref="H15:J15"/>
    <mergeCell ref="K15:M15"/>
    <mergeCell ref="N15:P15"/>
    <mergeCell ref="Q15:S15"/>
    <mergeCell ref="T38:V38"/>
    <mergeCell ref="A11:P11"/>
    <mergeCell ref="M4:O4"/>
    <mergeCell ref="M5:O5"/>
    <mergeCell ref="N27:P27"/>
    <mergeCell ref="Q27:S27"/>
    <mergeCell ref="T27:V27"/>
    <mergeCell ref="A38:A39"/>
    <mergeCell ref="B38:D38"/>
    <mergeCell ref="B27:D27"/>
    <mergeCell ref="H38:J38"/>
    <mergeCell ref="K38:M38"/>
    <mergeCell ref="E27:G27"/>
    <mergeCell ref="K27:M27"/>
    <mergeCell ref="H27:J27"/>
    <mergeCell ref="T15:V15"/>
  </mergeCells>
  <phoneticPr fontId="36" type="noConversion"/>
  <printOptions horizontalCentered="1"/>
  <pageMargins left="0.19685039370078741" right="0.39370078740157483" top="0.68" bottom="0.39370078740157483" header="0" footer="0"/>
  <pageSetup paperSize="9" scale="47" fitToHeight="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>
    <tabColor indexed="42"/>
    <pageSetUpPr fitToPage="1"/>
  </sheetPr>
  <dimension ref="A1:S55"/>
  <sheetViews>
    <sheetView topLeftCell="C1" zoomScale="50" workbookViewId="0">
      <selection activeCell="H19" sqref="H19"/>
    </sheetView>
  </sheetViews>
  <sheetFormatPr baseColWidth="10" defaultRowHeight="12.75"/>
  <cols>
    <col min="1" max="1" width="2.85546875" customWidth="1"/>
    <col min="2" max="2" width="33.5703125" customWidth="1"/>
    <col min="3" max="3" width="31.85546875" customWidth="1"/>
    <col min="4" max="4" width="42.140625" customWidth="1"/>
    <col min="5" max="5" width="33.28515625" bestFit="1" customWidth="1"/>
    <col min="6" max="6" width="35.5703125" bestFit="1" customWidth="1"/>
    <col min="7" max="11" width="14.85546875" customWidth="1"/>
    <col min="12" max="12" width="20.42578125" customWidth="1"/>
    <col min="13" max="13" width="18" customWidth="1"/>
    <col min="14" max="14" width="20.28515625" customWidth="1"/>
    <col min="15" max="15" width="20.85546875" customWidth="1"/>
    <col min="16" max="16" width="21.140625" customWidth="1"/>
  </cols>
  <sheetData>
    <row r="1" spans="1:17" ht="22.9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7" ht="20.25">
      <c r="A2" s="35"/>
      <c r="B2" s="636" t="s">
        <v>16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</row>
    <row r="3" spans="1:17" ht="23.45" customHeight="1">
      <c r="A3" s="35"/>
      <c r="B3" s="629" t="s">
        <v>182</v>
      </c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29"/>
      <c r="N3" s="629"/>
      <c r="O3" s="629"/>
      <c r="P3" s="629"/>
    </row>
    <row r="4" spans="1:17" ht="21" thickBot="1">
      <c r="A4" s="1"/>
      <c r="B4" s="143"/>
      <c r="C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</row>
    <row r="5" spans="1:17" ht="19.5" customHeight="1" thickTop="1" thickBot="1">
      <c r="A5" s="1"/>
      <c r="B5" s="12"/>
      <c r="C5" s="1"/>
      <c r="D5" s="134"/>
      <c r="F5" t="s">
        <v>87</v>
      </c>
      <c r="N5" s="303"/>
      <c r="O5" s="304" t="e">
        <f>#REF!</f>
        <v>#REF!</v>
      </c>
      <c r="P5" s="305"/>
    </row>
    <row r="6" spans="1:17" ht="21.75" thickTop="1" thickBot="1">
      <c r="A6" s="33"/>
      <c r="B6" s="2"/>
      <c r="C6" s="1"/>
      <c r="D6" s="234"/>
      <c r="E6" s="1"/>
      <c r="N6" s="303"/>
      <c r="O6" s="304" t="e">
        <f>#REF!</f>
        <v>#REF!</v>
      </c>
      <c r="P6" s="305"/>
    </row>
    <row r="7" spans="1:17" ht="15.75" thickTop="1">
      <c r="A7" s="1"/>
      <c r="B7" s="12"/>
    </row>
    <row r="8" spans="1:17" ht="15.75" thickBot="1">
      <c r="B8" s="12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</row>
    <row r="9" spans="1:17" ht="18.75" thickTop="1">
      <c r="B9" s="309" t="s">
        <v>17</v>
      </c>
      <c r="C9" s="310"/>
      <c r="D9" s="310"/>
      <c r="E9" s="310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98"/>
    </row>
    <row r="10" spans="1:17" ht="18">
      <c r="B10" s="311" t="s">
        <v>266</v>
      </c>
      <c r="C10" s="312"/>
      <c r="D10" s="312"/>
      <c r="E10" s="31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98"/>
    </row>
    <row r="11" spans="1:17" ht="25.9" customHeight="1" thickBot="1">
      <c r="B11" s="313" t="s">
        <v>271</v>
      </c>
      <c r="C11" s="314"/>
      <c r="D11" s="314"/>
      <c r="E11" s="315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98"/>
    </row>
    <row r="12" spans="1:17" ht="25.9" customHeight="1" thickTop="1">
      <c r="B12" s="1"/>
      <c r="C12" s="1"/>
      <c r="D12" s="39"/>
      <c r="E12" s="1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</row>
    <row r="13" spans="1:17" ht="25.9" customHeight="1">
      <c r="D13" s="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</row>
    <row r="14" spans="1:17" ht="25.9" customHeight="1" thickBot="1"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7" ht="36" customHeight="1" thickBot="1">
      <c r="B15" s="637" t="s">
        <v>269</v>
      </c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638"/>
      <c r="O15" s="638"/>
      <c r="P15" s="639"/>
    </row>
    <row r="16" spans="1:17" ht="25.9" customHeight="1">
      <c r="B16" s="150"/>
      <c r="C16" s="14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9" ht="25.9" customHeight="1">
      <c r="B17" s="150"/>
      <c r="C17" s="14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9" ht="25.9" customHeight="1">
      <c r="B18" s="640"/>
      <c r="C18" s="640"/>
      <c r="D18" s="640"/>
      <c r="E18" s="640"/>
      <c r="F18" s="320"/>
      <c r="G18" s="320"/>
      <c r="H18" s="320"/>
      <c r="I18" s="320"/>
      <c r="J18" s="320"/>
      <c r="K18" s="320"/>
      <c r="L18" s="1"/>
      <c r="M18" s="1"/>
      <c r="N18" s="1"/>
      <c r="O18" s="1"/>
      <c r="P18" s="1"/>
    </row>
    <row r="19" spans="1:19" ht="51" customHeight="1">
      <c r="C19" s="375"/>
      <c r="D19" s="375" t="s">
        <v>63</v>
      </c>
      <c r="E19" s="37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9" ht="25.5" customHeight="1" thickBot="1">
      <c r="A20" s="1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</row>
    <row r="21" spans="1:19" ht="39" customHeight="1">
      <c r="A21" s="1"/>
      <c r="D21" s="543" t="s">
        <v>64</v>
      </c>
      <c r="E21" s="543" t="s">
        <v>65</v>
      </c>
      <c r="F21" s="644" t="s">
        <v>270</v>
      </c>
      <c r="H21" s="549"/>
      <c r="I21" s="549"/>
      <c r="J21" s="549"/>
      <c r="K21" s="549"/>
      <c r="L21" s="549"/>
      <c r="M21" s="549"/>
      <c r="N21" s="549"/>
      <c r="O21" s="550"/>
      <c r="P21" s="550"/>
    </row>
    <row r="22" spans="1:19" ht="24.95" customHeight="1" thickBot="1">
      <c r="A22" s="1"/>
      <c r="D22" s="544"/>
      <c r="E22" s="544"/>
      <c r="F22" s="645"/>
      <c r="H22" s="551"/>
      <c r="I22" s="551"/>
      <c r="J22" s="551"/>
      <c r="K22" s="551"/>
      <c r="L22" s="551"/>
      <c r="M22" s="551"/>
      <c r="N22" s="551"/>
      <c r="O22" s="551"/>
      <c r="P22" s="552"/>
    </row>
    <row r="23" spans="1:19" ht="24.95" customHeight="1">
      <c r="A23" s="1"/>
      <c r="D23" s="641" t="s">
        <v>195</v>
      </c>
      <c r="E23" s="546" t="s">
        <v>66</v>
      </c>
      <c r="F23" s="557">
        <v>446.18</v>
      </c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9" ht="24.95" customHeight="1">
      <c r="A24" s="1"/>
      <c r="D24" s="642"/>
      <c r="E24" s="547" t="s">
        <v>215</v>
      </c>
      <c r="F24" s="558">
        <v>50.95</v>
      </c>
      <c r="H24" s="553"/>
      <c r="I24" s="553"/>
      <c r="J24" s="553"/>
      <c r="K24" s="553"/>
      <c r="L24" s="553"/>
      <c r="M24" s="553"/>
      <c r="N24" s="553"/>
      <c r="O24" s="553"/>
      <c r="P24" s="554"/>
    </row>
    <row r="25" spans="1:19" ht="24.95" customHeight="1" thickBot="1">
      <c r="A25" s="1"/>
      <c r="D25" s="643"/>
      <c r="E25" s="548" t="s">
        <v>216</v>
      </c>
      <c r="F25" s="559">
        <v>0.1134</v>
      </c>
      <c r="H25" s="551"/>
      <c r="I25" s="551"/>
      <c r="J25" s="551"/>
      <c r="K25" s="551"/>
      <c r="L25" s="551"/>
      <c r="M25" s="551"/>
      <c r="N25" s="551"/>
      <c r="O25" s="551"/>
      <c r="P25" s="552"/>
      <c r="S25" s="225"/>
    </row>
    <row r="26" spans="1:19" ht="24.95" customHeight="1">
      <c r="A26" s="1"/>
      <c r="D26" s="641" t="s">
        <v>196</v>
      </c>
      <c r="E26" s="546" t="s">
        <v>66</v>
      </c>
      <c r="F26" s="557">
        <v>365.33</v>
      </c>
      <c r="H26" s="551"/>
      <c r="I26" s="551"/>
      <c r="J26" s="551"/>
      <c r="K26" s="551"/>
      <c r="L26" s="551"/>
      <c r="M26" s="551"/>
      <c r="N26" s="551"/>
      <c r="O26" s="551"/>
      <c r="P26" s="552"/>
    </row>
    <row r="27" spans="1:19" ht="24.95" customHeight="1">
      <c r="A27" s="1"/>
      <c r="D27" s="642"/>
      <c r="E27" s="547" t="s">
        <v>215</v>
      </c>
      <c r="F27" s="558">
        <v>37.42</v>
      </c>
      <c r="H27" s="553"/>
      <c r="I27" s="553"/>
      <c r="J27" s="553"/>
      <c r="K27" s="553"/>
      <c r="L27" s="553"/>
      <c r="M27" s="553"/>
      <c r="N27" s="553"/>
      <c r="O27" s="553"/>
      <c r="P27" s="554"/>
    </row>
    <row r="28" spans="1:19" ht="24.95" customHeight="1" thickBot="1">
      <c r="A28" s="1"/>
      <c r="D28" s="643"/>
      <c r="E28" s="548" t="s">
        <v>216</v>
      </c>
      <c r="F28" s="559">
        <v>0.1024</v>
      </c>
      <c r="H28" s="551"/>
      <c r="I28" s="551"/>
      <c r="J28" s="551"/>
      <c r="K28" s="551"/>
      <c r="L28" s="551"/>
      <c r="M28" s="551"/>
      <c r="N28" s="551"/>
      <c r="O28" s="551"/>
      <c r="P28" s="552"/>
    </row>
    <row r="29" spans="1:19" ht="24.95" customHeight="1">
      <c r="A29" s="1"/>
      <c r="D29" s="641" t="s">
        <v>193</v>
      </c>
      <c r="E29" s="546" t="s">
        <v>66</v>
      </c>
      <c r="F29" s="557">
        <v>540.96</v>
      </c>
      <c r="H29" s="551"/>
      <c r="I29" s="551"/>
      <c r="J29" s="551"/>
      <c r="K29" s="551"/>
      <c r="L29" s="551"/>
      <c r="M29" s="551"/>
      <c r="N29" s="551"/>
      <c r="O29" s="551"/>
      <c r="P29" s="552"/>
    </row>
    <row r="30" spans="1:19" ht="24.95" customHeight="1">
      <c r="A30" s="1"/>
      <c r="D30" s="642"/>
      <c r="E30" s="547" t="s">
        <v>215</v>
      </c>
      <c r="F30" s="558">
        <v>42.793999999999997</v>
      </c>
      <c r="H30" s="553"/>
      <c r="I30" s="553"/>
      <c r="J30" s="553"/>
      <c r="K30" s="553"/>
      <c r="L30" s="553"/>
      <c r="M30" s="553"/>
      <c r="N30" s="553"/>
      <c r="O30" s="553"/>
      <c r="P30" s="554"/>
    </row>
    <row r="31" spans="1:19" ht="24.95" customHeight="1" thickBot="1">
      <c r="A31" s="1"/>
      <c r="D31" s="643"/>
      <c r="E31" s="548" t="s">
        <v>216</v>
      </c>
      <c r="F31" s="559">
        <v>7.9100000000000004E-2</v>
      </c>
      <c r="H31" s="551"/>
      <c r="I31" s="551"/>
      <c r="J31" s="551"/>
      <c r="K31" s="551"/>
      <c r="L31" s="551"/>
      <c r="M31" s="551"/>
      <c r="N31" s="551"/>
      <c r="O31" s="551"/>
      <c r="P31" s="552"/>
    </row>
    <row r="32" spans="1:19" ht="24.95" customHeight="1">
      <c r="A32" s="1"/>
      <c r="D32" s="641" t="s">
        <v>197</v>
      </c>
      <c r="E32" s="546" t="s">
        <v>66</v>
      </c>
      <c r="F32" s="557">
        <v>484.71</v>
      </c>
      <c r="H32" s="551"/>
      <c r="I32" s="551"/>
      <c r="J32" s="551"/>
      <c r="K32" s="551"/>
      <c r="L32" s="551"/>
      <c r="M32" s="551"/>
      <c r="N32" s="551"/>
      <c r="O32" s="551"/>
      <c r="P32" s="552"/>
    </row>
    <row r="33" spans="1:16" ht="24.95" customHeight="1">
      <c r="A33" s="1"/>
      <c r="D33" s="642"/>
      <c r="E33" s="547" t="s">
        <v>215</v>
      </c>
      <c r="F33" s="558">
        <v>40.802399999999999</v>
      </c>
      <c r="H33" s="553"/>
      <c r="I33" s="553"/>
      <c r="J33" s="553"/>
      <c r="K33" s="553"/>
      <c r="L33" s="553"/>
      <c r="M33" s="553"/>
      <c r="N33" s="553"/>
      <c r="O33" s="553"/>
      <c r="P33" s="554"/>
    </row>
    <row r="34" spans="1:16" ht="24.95" customHeight="1" thickBot="1">
      <c r="A34" s="7"/>
      <c r="D34" s="643"/>
      <c r="E34" s="548" t="s">
        <v>216</v>
      </c>
      <c r="F34" s="559">
        <v>8.4199999999999997E-2</v>
      </c>
      <c r="H34" s="551"/>
      <c r="I34" s="551"/>
      <c r="J34" s="551"/>
      <c r="K34" s="551"/>
      <c r="L34" s="551"/>
      <c r="M34" s="551"/>
      <c r="N34" s="551"/>
      <c r="O34" s="551"/>
      <c r="P34" s="552"/>
    </row>
    <row r="35" spans="1:16" ht="24.95" customHeight="1">
      <c r="A35" s="1"/>
      <c r="D35" s="641" t="s">
        <v>194</v>
      </c>
      <c r="E35" s="546" t="s">
        <v>66</v>
      </c>
      <c r="F35" s="557">
        <v>726.96</v>
      </c>
      <c r="H35" s="551"/>
      <c r="I35" s="551"/>
      <c r="J35" s="551"/>
      <c r="K35" s="551"/>
      <c r="L35" s="551"/>
      <c r="M35" s="551"/>
      <c r="N35" s="551"/>
      <c r="O35" s="551"/>
      <c r="P35" s="552"/>
    </row>
    <row r="36" spans="1:16" ht="24.95" customHeight="1">
      <c r="A36" s="6"/>
      <c r="D36" s="642"/>
      <c r="E36" s="547" t="s">
        <v>215</v>
      </c>
      <c r="F36" s="558">
        <v>54.27</v>
      </c>
      <c r="H36" s="553"/>
      <c r="I36" s="553"/>
      <c r="J36" s="553"/>
      <c r="K36" s="553"/>
      <c r="L36" s="553"/>
      <c r="M36" s="553"/>
      <c r="N36" s="553"/>
      <c r="O36" s="553"/>
      <c r="P36" s="554"/>
    </row>
    <row r="37" spans="1:16" ht="24.95" customHeight="1" thickBot="1">
      <c r="A37" s="6"/>
      <c r="D37" s="643"/>
      <c r="E37" s="548" t="s">
        <v>216</v>
      </c>
      <c r="F37" s="559">
        <v>7.4700000000000003E-2</v>
      </c>
      <c r="H37" s="551"/>
      <c r="I37" s="551"/>
      <c r="J37" s="551"/>
      <c r="K37" s="551"/>
      <c r="L37" s="551"/>
      <c r="M37" s="551"/>
      <c r="N37" s="551"/>
      <c r="O37" s="551"/>
      <c r="P37" s="552"/>
    </row>
    <row r="38" spans="1:16" ht="24.95" customHeight="1">
      <c r="A38" s="8"/>
      <c r="D38" s="641" t="s">
        <v>198</v>
      </c>
      <c r="E38" s="546" t="s">
        <v>66</v>
      </c>
      <c r="F38" s="557">
        <v>850.04</v>
      </c>
      <c r="H38" s="551"/>
      <c r="I38" s="551"/>
      <c r="J38" s="551"/>
      <c r="K38" s="551"/>
      <c r="L38" s="551"/>
      <c r="M38" s="551"/>
      <c r="N38" s="551"/>
      <c r="O38" s="551"/>
      <c r="P38" s="552"/>
    </row>
    <row r="39" spans="1:16" ht="24.95" customHeight="1">
      <c r="A39" s="1"/>
      <c r="D39" s="642"/>
      <c r="E39" s="547" t="s">
        <v>215</v>
      </c>
      <c r="F39" s="558">
        <v>67.400000000000006</v>
      </c>
      <c r="H39" s="553"/>
      <c r="I39" s="553"/>
      <c r="J39" s="553"/>
      <c r="K39" s="553"/>
      <c r="L39" s="555"/>
      <c r="M39" s="553"/>
      <c r="N39" s="553"/>
      <c r="O39" s="553"/>
      <c r="P39" s="554"/>
    </row>
    <row r="40" spans="1:16" ht="24.95" customHeight="1" thickBot="1">
      <c r="A40" s="7"/>
      <c r="D40" s="643"/>
      <c r="E40" s="548" t="s">
        <v>216</v>
      </c>
      <c r="F40" s="559">
        <v>7.9299999999999995E-2</v>
      </c>
      <c r="H40" s="551"/>
      <c r="I40" s="551"/>
      <c r="J40" s="551"/>
      <c r="K40" s="551"/>
      <c r="L40" s="551"/>
      <c r="M40" s="551"/>
      <c r="N40" s="551"/>
      <c r="O40" s="551"/>
      <c r="P40" s="551"/>
    </row>
    <row r="41" spans="1:16" ht="24.95" customHeight="1">
      <c r="A41" s="1"/>
      <c r="D41" s="641" t="s">
        <v>268</v>
      </c>
      <c r="E41" s="546" t="s">
        <v>66</v>
      </c>
      <c r="F41" s="557">
        <v>510.78</v>
      </c>
      <c r="H41" s="551"/>
      <c r="I41" s="551"/>
      <c r="J41" s="551"/>
      <c r="K41" s="551"/>
      <c r="L41" s="551"/>
      <c r="M41" s="551"/>
      <c r="N41" s="551"/>
      <c r="O41" s="551"/>
      <c r="P41" s="551"/>
    </row>
    <row r="42" spans="1:16" ht="24.95" customHeight="1">
      <c r="A42" s="1"/>
      <c r="D42" s="642"/>
      <c r="E42" s="547" t="s">
        <v>215</v>
      </c>
      <c r="F42" s="558">
        <v>45.082500000000003</v>
      </c>
      <c r="H42" s="553"/>
      <c r="I42" s="553"/>
      <c r="J42" s="553"/>
      <c r="K42" s="553"/>
      <c r="L42" s="553"/>
      <c r="M42" s="553"/>
      <c r="N42" s="553"/>
      <c r="O42" s="553"/>
      <c r="P42" s="553"/>
    </row>
    <row r="43" spans="1:16" ht="16.5" customHeight="1" thickBot="1">
      <c r="A43" s="1"/>
      <c r="D43" s="643"/>
      <c r="E43" s="548" t="s">
        <v>216</v>
      </c>
      <c r="F43" s="559">
        <v>8.8300000000000003E-2</v>
      </c>
      <c r="H43" s="158"/>
      <c r="I43" s="158"/>
      <c r="J43" s="158"/>
      <c r="K43" s="158"/>
      <c r="L43" s="158"/>
      <c r="M43" s="158"/>
      <c r="N43" s="158"/>
      <c r="O43" s="158"/>
      <c r="P43" s="158"/>
    </row>
    <row r="44" spans="1:16" ht="18.75">
      <c r="A44" s="1"/>
      <c r="D44" s="326" t="s">
        <v>70</v>
      </c>
      <c r="F44" s="158"/>
      <c r="H44" s="545"/>
      <c r="I44" s="545"/>
      <c r="J44" s="545"/>
      <c r="K44" s="545"/>
      <c r="L44" s="545"/>
      <c r="M44" s="545"/>
      <c r="N44" s="361"/>
      <c r="O44" s="361"/>
      <c r="P44" s="545"/>
    </row>
    <row r="45" spans="1:16" ht="19.149999999999999" customHeight="1">
      <c r="D45" s="561" t="s">
        <v>71</v>
      </c>
      <c r="E45" s="4"/>
      <c r="F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spans="1:16" ht="18">
      <c r="B46" s="75"/>
      <c r="C46" s="75"/>
      <c r="D46" s="560"/>
      <c r="E46" s="236"/>
      <c r="F46" s="158"/>
      <c r="G46" s="236"/>
      <c r="H46" s="236"/>
      <c r="I46" s="236"/>
      <c r="J46" s="236"/>
      <c r="K46" s="236"/>
      <c r="L46" s="236"/>
      <c r="M46" s="236"/>
      <c r="N46" s="236"/>
      <c r="O46" s="236"/>
      <c r="P46" s="236"/>
    </row>
    <row r="47" spans="1:16">
      <c r="B47" s="75"/>
      <c r="C47" s="75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</row>
    <row r="48" spans="1:16">
      <c r="B48" s="75"/>
      <c r="C48" s="75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</row>
    <row r="49" spans="4:16"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</row>
    <row r="50" spans="4:16"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</row>
    <row r="51" spans="4:16"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</row>
    <row r="52" spans="4:16"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</row>
    <row r="53" spans="4:16"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</row>
    <row r="54" spans="4:16"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</row>
    <row r="55" spans="4:16"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</row>
  </sheetData>
  <mergeCells count="12">
    <mergeCell ref="D35:D37"/>
    <mergeCell ref="D38:D40"/>
    <mergeCell ref="D41:D43"/>
    <mergeCell ref="F21:F22"/>
    <mergeCell ref="D23:D25"/>
    <mergeCell ref="D26:D28"/>
    <mergeCell ref="D29:D31"/>
    <mergeCell ref="B2:P2"/>
    <mergeCell ref="B3:P3"/>
    <mergeCell ref="B15:P15"/>
    <mergeCell ref="B18:E18"/>
    <mergeCell ref="D32:D34"/>
  </mergeCells>
  <phoneticPr fontId="36" type="noConversion"/>
  <printOptions horizontalCentered="1"/>
  <pageMargins left="0.19685039370078741" right="0.39370078740157483" top="0.68" bottom="0.39370078740157483" header="0" footer="0"/>
  <pageSetup paperSize="9" scale="27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tabColor indexed="42"/>
    <pageSetUpPr fitToPage="1"/>
  </sheetPr>
  <dimension ref="A1:AR66"/>
  <sheetViews>
    <sheetView topLeftCell="A7" zoomScale="75" workbookViewId="0">
      <selection activeCell="D16" sqref="D16"/>
    </sheetView>
  </sheetViews>
  <sheetFormatPr baseColWidth="10" defaultRowHeight="12.75"/>
  <cols>
    <col min="1" max="1" width="30.28515625" customWidth="1"/>
    <col min="2" max="2" width="25.28515625" customWidth="1"/>
    <col min="3" max="23" width="12.7109375" customWidth="1"/>
    <col min="24" max="24" width="13.42578125" customWidth="1"/>
    <col min="25" max="25" width="13.7109375" customWidth="1"/>
    <col min="26" max="26" width="16" customWidth="1"/>
    <col min="27" max="27" width="13.7109375" customWidth="1"/>
    <col min="28" max="28" width="12.85546875" customWidth="1"/>
    <col min="29" max="29" width="16" customWidth="1"/>
    <col min="30" max="31" width="13.42578125" customWidth="1"/>
    <col min="32" max="41" width="16" customWidth="1"/>
    <col min="42" max="42" width="13.42578125" customWidth="1"/>
    <col min="43" max="43" width="14.28515625" customWidth="1"/>
    <col min="44" max="44" width="16" customWidth="1"/>
  </cols>
  <sheetData>
    <row r="1" spans="1:23" ht="20.25">
      <c r="A1" s="661" t="s">
        <v>16</v>
      </c>
      <c r="B1" s="661"/>
      <c r="C1" s="661"/>
      <c r="D1" s="661"/>
      <c r="E1" s="661"/>
      <c r="F1" s="661"/>
      <c r="G1" s="661"/>
      <c r="H1" s="661"/>
      <c r="I1" s="661"/>
    </row>
    <row r="2" spans="1:23" ht="20.25">
      <c r="A2" s="629" t="s">
        <v>182</v>
      </c>
      <c r="B2" s="629"/>
      <c r="C2" s="629"/>
      <c r="D2" s="629"/>
      <c r="E2" s="629"/>
      <c r="F2" s="629"/>
      <c r="G2" s="629"/>
      <c r="H2" s="629"/>
      <c r="I2" s="629"/>
    </row>
    <row r="3" spans="1:23" ht="21" thickBot="1">
      <c r="A3" s="143"/>
      <c r="B3" s="143"/>
      <c r="D3" s="143"/>
      <c r="E3" s="143"/>
      <c r="F3" s="143"/>
      <c r="G3" s="143"/>
      <c r="H3" s="143"/>
    </row>
    <row r="4" spans="1:23" ht="16.5" thickTop="1" thickBot="1">
      <c r="A4" s="12"/>
      <c r="B4" s="1"/>
      <c r="C4" s="134"/>
      <c r="H4" s="662" t="e">
        <f>#REF!</f>
        <v>#REF!</v>
      </c>
      <c r="I4" s="663"/>
      <c r="J4" s="664"/>
    </row>
    <row r="5" spans="1:23" ht="17.25" thickTop="1" thickBot="1">
      <c r="A5" s="341" t="s">
        <v>17</v>
      </c>
      <c r="B5" s="342"/>
      <c r="C5" s="342"/>
      <c r="D5" s="342"/>
      <c r="E5" s="343"/>
      <c r="F5" s="123"/>
      <c r="G5" s="123"/>
      <c r="H5" s="665" t="e">
        <f>#REF!</f>
        <v>#REF!</v>
      </c>
      <c r="I5" s="666"/>
      <c r="J5" s="667"/>
    </row>
    <row r="6" spans="1:23" ht="16.5" thickTop="1">
      <c r="A6" s="344" t="s">
        <v>188</v>
      </c>
      <c r="B6" s="122"/>
      <c r="C6" s="122"/>
      <c r="D6" s="122"/>
      <c r="E6" s="345"/>
      <c r="F6" s="123"/>
      <c r="G6" s="123"/>
    </row>
    <row r="7" spans="1:23" ht="16.5" thickBot="1">
      <c r="A7" s="346" t="s">
        <v>250</v>
      </c>
      <c r="B7" s="347"/>
      <c r="C7" s="347"/>
      <c r="D7" s="347"/>
      <c r="E7" s="450"/>
      <c r="F7" s="127"/>
      <c r="G7" s="127"/>
      <c r="H7" s="135"/>
    </row>
    <row r="8" spans="1:23">
      <c r="A8" s="1"/>
      <c r="B8" s="1"/>
      <c r="C8" s="1"/>
      <c r="D8" s="1"/>
      <c r="E8" s="1"/>
      <c r="F8" s="1"/>
      <c r="G8" s="1"/>
      <c r="H8" s="1"/>
      <c r="I8" s="1"/>
    </row>
    <row r="9" spans="1:23">
      <c r="C9" s="1"/>
      <c r="E9" s="141"/>
      <c r="F9" s="141"/>
      <c r="G9" s="141"/>
      <c r="H9" s="141"/>
      <c r="I9" s="1"/>
    </row>
    <row r="10" spans="1:23" ht="13.5" thickBot="1">
      <c r="A10" s="1"/>
      <c r="B10" s="1"/>
      <c r="C10" s="1"/>
      <c r="D10" s="1"/>
      <c r="F10" s="1"/>
      <c r="G10" s="1"/>
      <c r="H10" s="1"/>
      <c r="I10" s="1"/>
    </row>
    <row r="11" spans="1:23" ht="26.25" thickBot="1">
      <c r="A11" s="637" t="s">
        <v>264</v>
      </c>
      <c r="B11" s="638"/>
      <c r="C11" s="638"/>
      <c r="D11" s="638"/>
      <c r="E11" s="638"/>
      <c r="F11" s="638"/>
      <c r="G11" s="638"/>
      <c r="H11" s="638"/>
      <c r="I11" s="638"/>
      <c r="J11" s="638"/>
      <c r="K11" s="638"/>
      <c r="L11" s="638"/>
      <c r="M11" s="638"/>
      <c r="N11" s="638"/>
      <c r="O11" s="638"/>
      <c r="P11" s="638"/>
      <c r="Q11" s="638"/>
      <c r="R11" s="638"/>
      <c r="S11" s="638"/>
      <c r="T11" s="638"/>
      <c r="U11" s="638"/>
      <c r="V11" s="638"/>
      <c r="W11" s="639"/>
    </row>
    <row r="13" spans="1:23" ht="13.5" thickBot="1"/>
    <row r="14" spans="1:23" ht="15" customHeight="1">
      <c r="A14" s="658" t="s">
        <v>64</v>
      </c>
      <c r="B14" s="652" t="s">
        <v>65</v>
      </c>
      <c r="C14" s="649" t="s">
        <v>101</v>
      </c>
      <c r="D14" s="650"/>
      <c r="E14" s="651"/>
      <c r="F14" s="655" t="s">
        <v>154</v>
      </c>
      <c r="G14" s="656"/>
      <c r="H14" s="660"/>
      <c r="I14" s="657" t="s">
        <v>102</v>
      </c>
      <c r="J14" s="650"/>
      <c r="K14" s="651"/>
      <c r="L14" s="657" t="s">
        <v>103</v>
      </c>
      <c r="M14" s="650"/>
      <c r="N14" s="651"/>
      <c r="O14" s="655" t="s">
        <v>155</v>
      </c>
      <c r="P14" s="656"/>
      <c r="Q14" s="656"/>
      <c r="R14" s="655" t="s">
        <v>156</v>
      </c>
      <c r="S14" s="656"/>
      <c r="T14" s="656"/>
      <c r="U14" s="654" t="s">
        <v>246</v>
      </c>
      <c r="V14" s="650"/>
      <c r="W14" s="651"/>
    </row>
    <row r="15" spans="1:23" ht="15" customHeight="1" thickBot="1">
      <c r="A15" s="659"/>
      <c r="B15" s="653"/>
      <c r="C15" s="383">
        <v>2008</v>
      </c>
      <c r="D15" s="317">
        <v>2009</v>
      </c>
      <c r="E15" s="337" t="s">
        <v>214</v>
      </c>
      <c r="F15" s="317">
        <v>2008</v>
      </c>
      <c r="G15" s="317">
        <v>2009</v>
      </c>
      <c r="H15" s="318" t="s">
        <v>214</v>
      </c>
      <c r="I15" s="317">
        <v>2008</v>
      </c>
      <c r="J15" s="317">
        <v>2009</v>
      </c>
      <c r="K15" s="318" t="s">
        <v>214</v>
      </c>
      <c r="L15" s="317">
        <v>2008</v>
      </c>
      <c r="M15" s="317">
        <v>2009</v>
      </c>
      <c r="N15" s="318" t="s">
        <v>214</v>
      </c>
      <c r="O15" s="317">
        <v>2008</v>
      </c>
      <c r="P15" s="317">
        <v>2009</v>
      </c>
      <c r="Q15" s="318" t="s">
        <v>214</v>
      </c>
      <c r="R15" s="317">
        <v>2008</v>
      </c>
      <c r="S15" s="317">
        <v>2009</v>
      </c>
      <c r="T15" s="335" t="s">
        <v>214</v>
      </c>
      <c r="U15" s="319">
        <v>2008</v>
      </c>
      <c r="V15" s="316">
        <v>2009</v>
      </c>
      <c r="W15" s="337" t="s">
        <v>214</v>
      </c>
    </row>
    <row r="16" spans="1:23" ht="15" customHeight="1">
      <c r="A16" s="646" t="s">
        <v>204</v>
      </c>
      <c r="B16" s="380" t="s">
        <v>66</v>
      </c>
      <c r="C16" s="384">
        <v>417.93</v>
      </c>
      <c r="D16" s="384"/>
      <c r="E16" s="378">
        <f>(D16-C16)/C16</f>
        <v>-1</v>
      </c>
      <c r="F16" s="384">
        <v>394.45</v>
      </c>
      <c r="G16" s="282"/>
      <c r="H16" s="378">
        <f>(G16-F16)/F16</f>
        <v>-1</v>
      </c>
      <c r="I16" s="384">
        <v>411.49</v>
      </c>
      <c r="J16" s="282"/>
      <c r="K16" s="378">
        <f t="shared" ref="K16:K36" si="0">(J16-I16)/I16</f>
        <v>-1</v>
      </c>
      <c r="L16" s="384">
        <v>433.15</v>
      </c>
      <c r="M16" s="384"/>
      <c r="N16" s="378">
        <f>(M16-L16)/L16</f>
        <v>-1</v>
      </c>
      <c r="O16" s="384">
        <v>406.84</v>
      </c>
      <c r="P16" s="384"/>
      <c r="Q16" s="378">
        <f>(P16-O16)/O16</f>
        <v>-1</v>
      </c>
      <c r="R16" s="384">
        <v>421.27</v>
      </c>
      <c r="S16" s="384"/>
      <c r="T16" s="378">
        <f>(S16-R16)/R16</f>
        <v>-1</v>
      </c>
      <c r="U16" s="384">
        <f>(C16+F16+I16+L16+O16+R16)/6</f>
        <v>414.18833333333333</v>
      </c>
      <c r="V16" s="384">
        <f>(D16+G16+J16+M16+P16+S16)/6</f>
        <v>0</v>
      </c>
      <c r="W16" s="378">
        <f t="shared" ref="W16:W36" si="1">(V16-U16)/U16</f>
        <v>-1</v>
      </c>
    </row>
    <row r="17" spans="1:23" ht="15" customHeight="1">
      <c r="A17" s="647"/>
      <c r="B17" s="381" t="s">
        <v>67</v>
      </c>
      <c r="C17" s="385">
        <v>36.299999999999997</v>
      </c>
      <c r="D17" s="385"/>
      <c r="E17" s="379">
        <f t="shared" ref="E17:E36" si="2">(D17-C17)/C17</f>
        <v>-1</v>
      </c>
      <c r="F17" s="385">
        <v>37.200000000000003</v>
      </c>
      <c r="G17" s="283"/>
      <c r="H17" s="379">
        <f t="shared" ref="H17:H36" si="3">(G17-F17)/F17</f>
        <v>-1</v>
      </c>
      <c r="I17" s="385">
        <v>43.45</v>
      </c>
      <c r="J17" s="283"/>
      <c r="K17" s="379">
        <f t="shared" si="0"/>
        <v>-1</v>
      </c>
      <c r="L17" s="385">
        <v>53.56</v>
      </c>
      <c r="M17" s="385"/>
      <c r="N17" s="379">
        <f t="shared" ref="N17:N36" si="4">(M17-L17)/L17</f>
        <v>-1</v>
      </c>
      <c r="O17" s="385">
        <v>52.2</v>
      </c>
      <c r="P17" s="385"/>
      <c r="Q17" s="379">
        <f t="shared" ref="Q17:Q36" si="5">(P17-O17)/O17</f>
        <v>-1</v>
      </c>
      <c r="R17" s="385">
        <v>50.11</v>
      </c>
      <c r="S17" s="385"/>
      <c r="T17" s="379">
        <f t="shared" ref="T17:T36" si="6">(S17-R17)/R17</f>
        <v>-1</v>
      </c>
      <c r="U17" s="385">
        <f t="shared" ref="U17:V36" si="7">(C17+F17+I17+L17+O17+R17)/6</f>
        <v>45.47</v>
      </c>
      <c r="V17" s="385">
        <f t="shared" si="7"/>
        <v>0</v>
      </c>
      <c r="W17" s="379">
        <f t="shared" si="1"/>
        <v>-1</v>
      </c>
    </row>
    <row r="18" spans="1:23" ht="15" customHeight="1" thickBot="1">
      <c r="A18" s="648"/>
      <c r="B18" s="382" t="s">
        <v>68</v>
      </c>
      <c r="C18" s="334">
        <v>8.6900000000000005E-2</v>
      </c>
      <c r="D18" s="334"/>
      <c r="E18" s="379">
        <f t="shared" si="2"/>
        <v>-1</v>
      </c>
      <c r="F18" s="334">
        <v>9.4299999999999995E-2</v>
      </c>
      <c r="G18" s="48"/>
      <c r="H18" s="379">
        <f t="shared" si="3"/>
        <v>-1</v>
      </c>
      <c r="I18" s="334">
        <v>0.1056</v>
      </c>
      <c r="J18" s="48"/>
      <c r="K18" s="379">
        <f t="shared" si="0"/>
        <v>-1</v>
      </c>
      <c r="L18" s="334">
        <v>0.1237</v>
      </c>
      <c r="M18" s="334"/>
      <c r="N18" s="379">
        <f t="shared" si="4"/>
        <v>-1</v>
      </c>
      <c r="O18" s="334">
        <v>0.1283</v>
      </c>
      <c r="P18" s="334"/>
      <c r="Q18" s="379">
        <f t="shared" si="5"/>
        <v>-1</v>
      </c>
      <c r="R18" s="334">
        <v>0.11899999999999999</v>
      </c>
      <c r="S18" s="334"/>
      <c r="T18" s="379">
        <f t="shared" si="6"/>
        <v>-1</v>
      </c>
      <c r="U18" s="334">
        <f t="shared" si="7"/>
        <v>0.10963333333333332</v>
      </c>
      <c r="V18" s="334">
        <f t="shared" si="7"/>
        <v>0</v>
      </c>
      <c r="W18" s="379">
        <f t="shared" si="1"/>
        <v>-1</v>
      </c>
    </row>
    <row r="19" spans="1:23" ht="15" customHeight="1">
      <c r="A19" s="668" t="s">
        <v>196</v>
      </c>
      <c r="B19" s="380" t="s">
        <v>66</v>
      </c>
      <c r="C19" s="384">
        <v>384.97</v>
      </c>
      <c r="D19" s="384"/>
      <c r="E19" s="378">
        <f t="shared" si="2"/>
        <v>-1</v>
      </c>
      <c r="F19" s="384">
        <v>391.93</v>
      </c>
      <c r="G19" s="284"/>
      <c r="H19" s="378">
        <f t="shared" si="3"/>
        <v>-1</v>
      </c>
      <c r="I19" s="384">
        <v>406.62</v>
      </c>
      <c r="J19" s="284"/>
      <c r="K19" s="378">
        <f t="shared" si="0"/>
        <v>-1</v>
      </c>
      <c r="L19" s="384">
        <v>384.71</v>
      </c>
      <c r="M19" s="384"/>
      <c r="N19" s="378">
        <f t="shared" si="4"/>
        <v>-1</v>
      </c>
      <c r="O19" s="384">
        <v>370.3</v>
      </c>
      <c r="P19" s="384"/>
      <c r="Q19" s="378">
        <f t="shared" si="5"/>
        <v>-1</v>
      </c>
      <c r="R19" s="384">
        <v>369.91</v>
      </c>
      <c r="S19" s="384"/>
      <c r="T19" s="378">
        <f t="shared" si="6"/>
        <v>-1</v>
      </c>
      <c r="U19" s="384">
        <f t="shared" si="7"/>
        <v>384.74</v>
      </c>
      <c r="V19" s="384">
        <f t="shared" si="7"/>
        <v>0</v>
      </c>
      <c r="W19" s="378">
        <f t="shared" si="1"/>
        <v>-1</v>
      </c>
    </row>
    <row r="20" spans="1:23" ht="15" customHeight="1">
      <c r="A20" s="647"/>
      <c r="B20" s="381" t="s">
        <v>67</v>
      </c>
      <c r="C20" s="385">
        <v>30.39</v>
      </c>
      <c r="D20" s="385"/>
      <c r="E20" s="379">
        <f t="shared" si="2"/>
        <v>-1</v>
      </c>
      <c r="F20" s="385">
        <v>22.15</v>
      </c>
      <c r="G20" s="283"/>
      <c r="H20" s="379">
        <f t="shared" si="3"/>
        <v>-1</v>
      </c>
      <c r="I20" s="385">
        <v>33.49</v>
      </c>
      <c r="J20" s="283"/>
      <c r="K20" s="379">
        <f t="shared" si="0"/>
        <v>-1</v>
      </c>
      <c r="L20" s="385">
        <v>30.91</v>
      </c>
      <c r="M20" s="385"/>
      <c r="N20" s="379">
        <f t="shared" si="4"/>
        <v>-1</v>
      </c>
      <c r="O20" s="385">
        <v>29.36</v>
      </c>
      <c r="P20" s="385"/>
      <c r="Q20" s="379">
        <f t="shared" si="5"/>
        <v>-1</v>
      </c>
      <c r="R20" s="385">
        <v>32.75</v>
      </c>
      <c r="S20" s="385"/>
      <c r="T20" s="379">
        <f t="shared" si="6"/>
        <v>-1</v>
      </c>
      <c r="U20" s="385">
        <f t="shared" si="7"/>
        <v>29.841666666666669</v>
      </c>
      <c r="V20" s="385">
        <f t="shared" si="7"/>
        <v>0</v>
      </c>
      <c r="W20" s="379">
        <f t="shared" si="1"/>
        <v>-1</v>
      </c>
    </row>
    <row r="21" spans="1:23" ht="15" customHeight="1" thickBot="1">
      <c r="A21" s="648"/>
      <c r="B21" s="382" t="s">
        <v>68</v>
      </c>
      <c r="C21" s="386">
        <v>7.9000000000000001E-2</v>
      </c>
      <c r="D21" s="386"/>
      <c r="E21" s="379">
        <f t="shared" si="2"/>
        <v>-1</v>
      </c>
      <c r="F21" s="386">
        <v>5.6500000000000002E-2</v>
      </c>
      <c r="G21" s="48"/>
      <c r="H21" s="379">
        <f t="shared" si="3"/>
        <v>-1</v>
      </c>
      <c r="I21" s="386">
        <v>8.2400000000000001E-2</v>
      </c>
      <c r="J21" s="48"/>
      <c r="K21" s="379">
        <f t="shared" si="0"/>
        <v>-1</v>
      </c>
      <c r="L21" s="386">
        <v>8.0399999999999999E-2</v>
      </c>
      <c r="M21" s="386"/>
      <c r="N21" s="379">
        <f t="shared" si="4"/>
        <v>-1</v>
      </c>
      <c r="O21" s="386">
        <v>7.9299999999999995E-2</v>
      </c>
      <c r="P21" s="386"/>
      <c r="Q21" s="379">
        <f t="shared" si="5"/>
        <v>-1</v>
      </c>
      <c r="R21" s="386">
        <v>8.8599999999999998E-2</v>
      </c>
      <c r="S21" s="386"/>
      <c r="T21" s="379">
        <f t="shared" si="6"/>
        <v>-1</v>
      </c>
      <c r="U21" s="386">
        <f t="shared" si="7"/>
        <v>7.7700000000000005E-2</v>
      </c>
      <c r="V21" s="386">
        <f t="shared" si="7"/>
        <v>0</v>
      </c>
      <c r="W21" s="379">
        <f t="shared" si="1"/>
        <v>-1</v>
      </c>
    </row>
    <row r="22" spans="1:23" ht="15" customHeight="1">
      <c r="A22" s="646" t="s">
        <v>248</v>
      </c>
      <c r="B22" s="380" t="s">
        <v>66</v>
      </c>
      <c r="C22" s="384">
        <v>526.13</v>
      </c>
      <c r="D22" s="384"/>
      <c r="E22" s="378">
        <f t="shared" si="2"/>
        <v>-1</v>
      </c>
      <c r="F22" s="384">
        <v>595.29</v>
      </c>
      <c r="G22" s="284"/>
      <c r="H22" s="378">
        <f t="shared" si="3"/>
        <v>-1</v>
      </c>
      <c r="I22" s="384">
        <v>614.26</v>
      </c>
      <c r="J22" s="284"/>
      <c r="K22" s="378">
        <f t="shared" si="0"/>
        <v>-1</v>
      </c>
      <c r="L22" s="384">
        <v>612.26</v>
      </c>
      <c r="M22" s="384"/>
      <c r="N22" s="378">
        <f t="shared" si="4"/>
        <v>-1</v>
      </c>
      <c r="O22" s="384">
        <v>0</v>
      </c>
      <c r="P22" s="384"/>
      <c r="Q22" s="378" t="e">
        <f t="shared" si="5"/>
        <v>#DIV/0!</v>
      </c>
      <c r="R22" s="384">
        <v>550.17999999999995</v>
      </c>
      <c r="S22" s="384"/>
      <c r="T22" s="378">
        <f t="shared" si="6"/>
        <v>-1</v>
      </c>
      <c r="U22" s="384">
        <f t="shared" si="7"/>
        <v>483.02</v>
      </c>
      <c r="V22" s="384">
        <f t="shared" si="7"/>
        <v>0</v>
      </c>
      <c r="W22" s="378">
        <f t="shared" si="1"/>
        <v>-1</v>
      </c>
    </row>
    <row r="23" spans="1:23" ht="15" customHeight="1">
      <c r="A23" s="671"/>
      <c r="B23" s="381" t="s">
        <v>67</v>
      </c>
      <c r="C23" s="385">
        <v>30.61</v>
      </c>
      <c r="D23" s="385"/>
      <c r="E23" s="379">
        <f t="shared" si="2"/>
        <v>-1</v>
      </c>
      <c r="F23" s="385">
        <v>33.36</v>
      </c>
      <c r="G23" s="283"/>
      <c r="H23" s="379">
        <f t="shared" si="3"/>
        <v>-1</v>
      </c>
      <c r="I23" s="385">
        <v>32.36</v>
      </c>
      <c r="J23" s="283"/>
      <c r="K23" s="379">
        <f t="shared" si="0"/>
        <v>-1</v>
      </c>
      <c r="L23" s="385">
        <v>38.76</v>
      </c>
      <c r="M23" s="385"/>
      <c r="N23" s="379">
        <f t="shared" si="4"/>
        <v>-1</v>
      </c>
      <c r="O23" s="385">
        <v>0</v>
      </c>
      <c r="P23" s="385"/>
      <c r="Q23" s="379" t="e">
        <f t="shared" si="5"/>
        <v>#DIV/0!</v>
      </c>
      <c r="R23" s="385">
        <v>33.159999999999997</v>
      </c>
      <c r="S23" s="385"/>
      <c r="T23" s="379">
        <f t="shared" si="6"/>
        <v>-1</v>
      </c>
      <c r="U23" s="385">
        <f t="shared" si="7"/>
        <v>28.041666666666668</v>
      </c>
      <c r="V23" s="385">
        <f t="shared" si="7"/>
        <v>0</v>
      </c>
      <c r="W23" s="379">
        <f t="shared" si="1"/>
        <v>-1</v>
      </c>
    </row>
    <row r="24" spans="1:23" ht="15" customHeight="1" thickBot="1">
      <c r="A24" s="672"/>
      <c r="B24" s="382" t="s">
        <v>68</v>
      </c>
      <c r="C24" s="386">
        <v>5.8200000000000002E-2</v>
      </c>
      <c r="D24" s="386"/>
      <c r="E24" s="379">
        <f t="shared" si="2"/>
        <v>-1</v>
      </c>
      <c r="F24" s="386">
        <v>5.6099999999999997E-2</v>
      </c>
      <c r="G24" s="48"/>
      <c r="H24" s="379">
        <f t="shared" si="3"/>
        <v>-1</v>
      </c>
      <c r="I24" s="386">
        <v>5.2699999999999997E-2</v>
      </c>
      <c r="J24" s="48"/>
      <c r="K24" s="379">
        <f t="shared" si="0"/>
        <v>-1</v>
      </c>
      <c r="L24" s="386">
        <v>6.3299999999999995E-2</v>
      </c>
      <c r="M24" s="386"/>
      <c r="N24" s="379">
        <f t="shared" si="4"/>
        <v>-1</v>
      </c>
      <c r="O24" s="386">
        <v>0</v>
      </c>
      <c r="P24" s="386"/>
      <c r="Q24" s="379" t="e">
        <f t="shared" si="5"/>
        <v>#DIV/0!</v>
      </c>
      <c r="R24" s="386">
        <v>6.0299999999999999E-2</v>
      </c>
      <c r="S24" s="386"/>
      <c r="T24" s="379">
        <f t="shared" si="6"/>
        <v>-1</v>
      </c>
      <c r="U24" s="386">
        <f t="shared" si="7"/>
        <v>4.8433333333333328E-2</v>
      </c>
      <c r="V24" s="386">
        <f t="shared" si="7"/>
        <v>0</v>
      </c>
      <c r="W24" s="379">
        <f t="shared" si="1"/>
        <v>-1</v>
      </c>
    </row>
    <row r="25" spans="1:23" ht="15" customHeight="1">
      <c r="A25" s="646" t="s">
        <v>205</v>
      </c>
      <c r="B25" s="380" t="s">
        <v>66</v>
      </c>
      <c r="C25" s="384">
        <v>492.43</v>
      </c>
      <c r="D25" s="384"/>
      <c r="E25" s="378">
        <f t="shared" si="2"/>
        <v>-1</v>
      </c>
      <c r="F25" s="384">
        <v>393.17</v>
      </c>
      <c r="G25" s="284"/>
      <c r="H25" s="378">
        <f t="shared" si="3"/>
        <v>-1</v>
      </c>
      <c r="I25" s="384">
        <v>413.89</v>
      </c>
      <c r="J25" s="284"/>
      <c r="K25" s="378">
        <f t="shared" si="0"/>
        <v>-1</v>
      </c>
      <c r="L25" s="384">
        <v>448.55</v>
      </c>
      <c r="M25" s="384"/>
      <c r="N25" s="378">
        <f t="shared" si="4"/>
        <v>-1</v>
      </c>
      <c r="O25" s="384">
        <v>509.67</v>
      </c>
      <c r="P25" s="384"/>
      <c r="Q25" s="378">
        <f t="shared" si="5"/>
        <v>-1</v>
      </c>
      <c r="R25" s="384">
        <v>505.92</v>
      </c>
      <c r="S25" s="384"/>
      <c r="T25" s="378">
        <f t="shared" si="6"/>
        <v>-1</v>
      </c>
      <c r="U25" s="384">
        <f t="shared" si="7"/>
        <v>460.60500000000002</v>
      </c>
      <c r="V25" s="384">
        <f t="shared" si="7"/>
        <v>0</v>
      </c>
      <c r="W25" s="378">
        <f t="shared" si="1"/>
        <v>-1</v>
      </c>
    </row>
    <row r="26" spans="1:23" ht="15" customHeight="1">
      <c r="A26" s="647"/>
      <c r="B26" s="381" t="s">
        <v>67</v>
      </c>
      <c r="C26" s="385">
        <v>31.76</v>
      </c>
      <c r="D26" s="385"/>
      <c r="E26" s="379">
        <f t="shared" si="2"/>
        <v>-1</v>
      </c>
      <c r="F26" s="385">
        <v>27.88</v>
      </c>
      <c r="G26" s="283"/>
      <c r="H26" s="379">
        <f t="shared" si="3"/>
        <v>-1</v>
      </c>
      <c r="I26" s="385">
        <v>29.25</v>
      </c>
      <c r="J26" s="283"/>
      <c r="K26" s="379">
        <f t="shared" si="0"/>
        <v>-1</v>
      </c>
      <c r="L26" s="385">
        <v>33.869999999999997</v>
      </c>
      <c r="M26" s="385"/>
      <c r="N26" s="379">
        <f t="shared" si="4"/>
        <v>-1</v>
      </c>
      <c r="O26" s="385">
        <v>39.46</v>
      </c>
      <c r="P26" s="385"/>
      <c r="Q26" s="379">
        <f t="shared" si="5"/>
        <v>-1</v>
      </c>
      <c r="R26" s="385">
        <v>49.62</v>
      </c>
      <c r="S26" s="385"/>
      <c r="T26" s="379">
        <f t="shared" si="6"/>
        <v>-1</v>
      </c>
      <c r="U26" s="385">
        <f t="shared" si="7"/>
        <v>35.306666666666665</v>
      </c>
      <c r="V26" s="385">
        <f t="shared" si="7"/>
        <v>0</v>
      </c>
      <c r="W26" s="379">
        <f t="shared" si="1"/>
        <v>-1</v>
      </c>
    </row>
    <row r="27" spans="1:23" ht="15" customHeight="1" thickBot="1">
      <c r="A27" s="648"/>
      <c r="B27" s="382" t="s">
        <v>68</v>
      </c>
      <c r="C27" s="386">
        <v>6.4500000000000002E-2</v>
      </c>
      <c r="D27" s="386"/>
      <c r="E27" s="379">
        <f t="shared" si="2"/>
        <v>-1</v>
      </c>
      <c r="F27" s="386">
        <v>7.0900000000000005E-2</v>
      </c>
      <c r="G27" s="48"/>
      <c r="H27" s="379">
        <f t="shared" si="3"/>
        <v>-1</v>
      </c>
      <c r="I27" s="386">
        <v>7.0699999999999999E-2</v>
      </c>
      <c r="J27" s="48"/>
      <c r="K27" s="379">
        <f t="shared" si="0"/>
        <v>-1</v>
      </c>
      <c r="L27" s="386">
        <v>7.5499999999999998E-2</v>
      </c>
      <c r="M27" s="386"/>
      <c r="N27" s="379">
        <f t="shared" si="4"/>
        <v>-1</v>
      </c>
      <c r="O27" s="386">
        <v>7.7399999999999997E-2</v>
      </c>
      <c r="P27" s="386"/>
      <c r="Q27" s="379">
        <f t="shared" si="5"/>
        <v>-1</v>
      </c>
      <c r="R27" s="386">
        <v>9.8100000000000007E-2</v>
      </c>
      <c r="S27" s="386"/>
      <c r="T27" s="379">
        <f t="shared" si="6"/>
        <v>-1</v>
      </c>
      <c r="U27" s="386">
        <f t="shared" si="7"/>
        <v>7.6183333333333339E-2</v>
      </c>
      <c r="V27" s="386">
        <f t="shared" si="7"/>
        <v>0</v>
      </c>
      <c r="W27" s="379">
        <f t="shared" si="1"/>
        <v>-1</v>
      </c>
    </row>
    <row r="28" spans="1:23" ht="15" customHeight="1">
      <c r="A28" s="646" t="s">
        <v>249</v>
      </c>
      <c r="B28" s="380" t="s">
        <v>66</v>
      </c>
      <c r="C28" s="384">
        <v>661.7</v>
      </c>
      <c r="D28" s="384"/>
      <c r="E28" s="378">
        <f t="shared" si="2"/>
        <v>-1</v>
      </c>
      <c r="F28" s="384">
        <v>711.77</v>
      </c>
      <c r="G28" s="284"/>
      <c r="H28" s="378">
        <f t="shared" si="3"/>
        <v>-1</v>
      </c>
      <c r="I28" s="384">
        <v>707.73</v>
      </c>
      <c r="J28" s="284"/>
      <c r="K28" s="378">
        <f t="shared" si="0"/>
        <v>-1</v>
      </c>
      <c r="L28" s="384">
        <v>745.27</v>
      </c>
      <c r="M28" s="384"/>
      <c r="N28" s="378">
        <f t="shared" si="4"/>
        <v>-1</v>
      </c>
      <c r="O28" s="384">
        <v>0</v>
      </c>
      <c r="P28" s="384"/>
      <c r="Q28" s="378" t="e">
        <f t="shared" si="5"/>
        <v>#DIV/0!</v>
      </c>
      <c r="R28" s="384">
        <v>863.27</v>
      </c>
      <c r="S28" s="384"/>
      <c r="T28" s="378">
        <f t="shared" si="6"/>
        <v>-1</v>
      </c>
      <c r="U28" s="384">
        <f t="shared" si="7"/>
        <v>614.95666666666659</v>
      </c>
      <c r="V28" s="384">
        <f t="shared" si="7"/>
        <v>0</v>
      </c>
      <c r="W28" s="378">
        <f t="shared" si="1"/>
        <v>-1</v>
      </c>
    </row>
    <row r="29" spans="1:23" ht="15" customHeight="1">
      <c r="A29" s="647"/>
      <c r="B29" s="381" t="s">
        <v>67</v>
      </c>
      <c r="C29" s="385">
        <v>35.96</v>
      </c>
      <c r="D29" s="385"/>
      <c r="E29" s="379">
        <f t="shared" si="2"/>
        <v>-1</v>
      </c>
      <c r="F29" s="385">
        <v>40.229999999999997</v>
      </c>
      <c r="G29" s="283"/>
      <c r="H29" s="379">
        <f t="shared" si="3"/>
        <v>-1</v>
      </c>
      <c r="I29" s="385">
        <v>46.14</v>
      </c>
      <c r="J29" s="283"/>
      <c r="K29" s="379">
        <f t="shared" si="0"/>
        <v>-1</v>
      </c>
      <c r="L29" s="385">
        <v>45.12</v>
      </c>
      <c r="M29" s="385"/>
      <c r="N29" s="379">
        <f t="shared" si="4"/>
        <v>-1</v>
      </c>
      <c r="O29" s="385">
        <v>0</v>
      </c>
      <c r="P29" s="385"/>
      <c r="Q29" s="379" t="e">
        <f t="shared" si="5"/>
        <v>#DIV/0!</v>
      </c>
      <c r="R29" s="385">
        <v>50.87</v>
      </c>
      <c r="S29" s="385"/>
      <c r="T29" s="379">
        <f t="shared" si="6"/>
        <v>-1</v>
      </c>
      <c r="U29" s="385">
        <f t="shared" si="7"/>
        <v>36.386666666666663</v>
      </c>
      <c r="V29" s="385">
        <f t="shared" si="7"/>
        <v>0</v>
      </c>
      <c r="W29" s="379">
        <f t="shared" si="1"/>
        <v>-1</v>
      </c>
    </row>
    <row r="30" spans="1:23" ht="15" customHeight="1" thickBot="1">
      <c r="A30" s="648"/>
      <c r="B30" s="382" t="s">
        <v>68</v>
      </c>
      <c r="C30" s="386">
        <v>5.4399999999999997E-2</v>
      </c>
      <c r="D30" s="386"/>
      <c r="E30" s="379">
        <f t="shared" si="2"/>
        <v>-1</v>
      </c>
      <c r="F30" s="386">
        <v>5.6500000000000002E-2</v>
      </c>
      <c r="G30" s="48"/>
      <c r="H30" s="379">
        <f t="shared" si="3"/>
        <v>-1</v>
      </c>
      <c r="I30" s="386">
        <v>6.5199999999999994E-2</v>
      </c>
      <c r="J30" s="48"/>
      <c r="K30" s="379">
        <f t="shared" si="0"/>
        <v>-1</v>
      </c>
      <c r="L30" s="386">
        <v>6.0499999999999998E-2</v>
      </c>
      <c r="M30" s="386"/>
      <c r="N30" s="379">
        <f t="shared" si="4"/>
        <v>-1</v>
      </c>
      <c r="O30" s="386">
        <v>0</v>
      </c>
      <c r="P30" s="386"/>
      <c r="Q30" s="379" t="e">
        <f t="shared" si="5"/>
        <v>#DIV/0!</v>
      </c>
      <c r="R30" s="386">
        <v>5.8900000000000001E-2</v>
      </c>
      <c r="S30" s="386"/>
      <c r="T30" s="379">
        <f t="shared" si="6"/>
        <v>-1</v>
      </c>
      <c r="U30" s="386">
        <f t="shared" si="7"/>
        <v>4.9249999999999995E-2</v>
      </c>
      <c r="V30" s="386">
        <f t="shared" si="7"/>
        <v>0</v>
      </c>
      <c r="W30" s="379">
        <f t="shared" si="1"/>
        <v>-1</v>
      </c>
    </row>
    <row r="31" spans="1:23" ht="15" customHeight="1">
      <c r="A31" s="669" t="s">
        <v>198</v>
      </c>
      <c r="B31" s="387" t="s">
        <v>66</v>
      </c>
      <c r="C31" s="384">
        <v>911.03</v>
      </c>
      <c r="D31" s="384"/>
      <c r="E31" s="378">
        <f t="shared" si="2"/>
        <v>-1</v>
      </c>
      <c r="F31" s="384">
        <v>964.49</v>
      </c>
      <c r="G31" s="284"/>
      <c r="H31" s="378">
        <f t="shared" si="3"/>
        <v>-1</v>
      </c>
      <c r="I31" s="384">
        <v>891.53</v>
      </c>
      <c r="J31" s="284"/>
      <c r="K31" s="378">
        <f t="shared" si="0"/>
        <v>-1</v>
      </c>
      <c r="L31" s="384">
        <v>783.9</v>
      </c>
      <c r="M31" s="384"/>
      <c r="N31" s="378">
        <f t="shared" si="4"/>
        <v>-1</v>
      </c>
      <c r="O31" s="384">
        <v>766.92</v>
      </c>
      <c r="P31" s="384"/>
      <c r="Q31" s="378">
        <f t="shared" si="5"/>
        <v>-1</v>
      </c>
      <c r="R31" s="384">
        <v>998.32</v>
      </c>
      <c r="S31" s="384"/>
      <c r="T31" s="378">
        <f t="shared" si="6"/>
        <v>-1</v>
      </c>
      <c r="U31" s="384">
        <f t="shared" si="7"/>
        <v>886.03166666666664</v>
      </c>
      <c r="V31" s="384">
        <f t="shared" si="7"/>
        <v>0</v>
      </c>
      <c r="W31" s="378">
        <f t="shared" si="1"/>
        <v>-1</v>
      </c>
    </row>
    <row r="32" spans="1:23" ht="15" customHeight="1">
      <c r="A32" s="647"/>
      <c r="B32" s="381" t="s">
        <v>67</v>
      </c>
      <c r="C32" s="395">
        <v>65.66</v>
      </c>
      <c r="D32" s="395"/>
      <c r="E32" s="379">
        <f t="shared" si="2"/>
        <v>-1</v>
      </c>
      <c r="F32" s="395">
        <v>68</v>
      </c>
      <c r="G32" s="403"/>
      <c r="H32" s="379">
        <f t="shared" si="3"/>
        <v>-1</v>
      </c>
      <c r="I32" s="395">
        <v>60.17</v>
      </c>
      <c r="J32" s="283"/>
      <c r="K32" s="379">
        <f t="shared" si="0"/>
        <v>-1</v>
      </c>
      <c r="L32" s="395">
        <v>59.99</v>
      </c>
      <c r="M32" s="395"/>
      <c r="N32" s="379">
        <f t="shared" si="4"/>
        <v>-1</v>
      </c>
      <c r="O32" s="395">
        <v>74.14</v>
      </c>
      <c r="P32" s="395"/>
      <c r="Q32" s="379">
        <f t="shared" si="5"/>
        <v>-1</v>
      </c>
      <c r="R32" s="395">
        <v>79.819999999999993</v>
      </c>
      <c r="S32" s="395"/>
      <c r="T32" s="379">
        <f t="shared" si="6"/>
        <v>-1</v>
      </c>
      <c r="U32" s="395">
        <f t="shared" si="7"/>
        <v>67.963333333333324</v>
      </c>
      <c r="V32" s="395">
        <f t="shared" si="7"/>
        <v>0</v>
      </c>
      <c r="W32" s="379">
        <f t="shared" si="1"/>
        <v>-1</v>
      </c>
    </row>
    <row r="33" spans="1:44" ht="15" customHeight="1" thickBot="1">
      <c r="A33" s="670"/>
      <c r="B33" s="388" t="s">
        <v>68</v>
      </c>
      <c r="C33" s="402">
        <v>7.2099999999999997E-2</v>
      </c>
      <c r="D33" s="402"/>
      <c r="E33" s="379">
        <f t="shared" si="2"/>
        <v>-1</v>
      </c>
      <c r="F33" s="402">
        <v>7.0499999999999993E-2</v>
      </c>
      <c r="G33" s="48"/>
      <c r="H33" s="379">
        <f t="shared" si="3"/>
        <v>-1</v>
      </c>
      <c r="I33" s="402">
        <v>6.7500000000000004E-2</v>
      </c>
      <c r="J33" s="48"/>
      <c r="K33" s="379">
        <f t="shared" si="0"/>
        <v>-1</v>
      </c>
      <c r="L33" s="402">
        <v>7.6499999999999999E-2</v>
      </c>
      <c r="M33" s="402"/>
      <c r="N33" s="379">
        <f t="shared" si="4"/>
        <v>-1</v>
      </c>
      <c r="O33" s="402">
        <v>9.6699999999999994E-2</v>
      </c>
      <c r="P33" s="402"/>
      <c r="Q33" s="379">
        <f t="shared" si="5"/>
        <v>-1</v>
      </c>
      <c r="R33" s="402">
        <v>0.08</v>
      </c>
      <c r="S33" s="402"/>
      <c r="T33" s="379">
        <f t="shared" si="6"/>
        <v>-1</v>
      </c>
      <c r="U33" s="402">
        <f t="shared" si="7"/>
        <v>7.721666666666667E-2</v>
      </c>
      <c r="V33" s="402">
        <f t="shared" si="7"/>
        <v>0</v>
      </c>
      <c r="W33" s="379">
        <f t="shared" si="1"/>
        <v>-1</v>
      </c>
    </row>
    <row r="34" spans="1:44" ht="15" customHeight="1">
      <c r="A34" s="668" t="s">
        <v>69</v>
      </c>
      <c r="B34" s="389" t="s">
        <v>66</v>
      </c>
      <c r="C34" s="396">
        <v>565.69833333333338</v>
      </c>
      <c r="D34" s="392"/>
      <c r="E34" s="399">
        <f t="shared" si="2"/>
        <v>-1</v>
      </c>
      <c r="F34" s="396">
        <v>479.18</v>
      </c>
      <c r="G34" s="285"/>
      <c r="H34" s="338">
        <f t="shared" si="3"/>
        <v>-1</v>
      </c>
      <c r="I34" s="396">
        <v>490.45</v>
      </c>
      <c r="J34" s="285"/>
      <c r="K34" s="338">
        <f t="shared" si="0"/>
        <v>-1</v>
      </c>
      <c r="L34" s="396">
        <v>567.97333333333324</v>
      </c>
      <c r="M34" s="396"/>
      <c r="N34" s="338">
        <f t="shared" si="4"/>
        <v>-1</v>
      </c>
      <c r="O34" s="396">
        <v>513.4325</v>
      </c>
      <c r="P34" s="396"/>
      <c r="Q34" s="338">
        <f t="shared" si="5"/>
        <v>-1</v>
      </c>
      <c r="R34" s="396">
        <v>573.85500000000002</v>
      </c>
      <c r="S34" s="396"/>
      <c r="T34" s="338">
        <f t="shared" si="6"/>
        <v>-1</v>
      </c>
      <c r="U34" s="396">
        <f t="shared" si="7"/>
        <v>531.76486111111114</v>
      </c>
      <c r="V34" s="396">
        <f t="shared" si="7"/>
        <v>0</v>
      </c>
      <c r="W34" s="338">
        <f t="shared" si="1"/>
        <v>-1</v>
      </c>
    </row>
    <row r="35" spans="1:44" ht="15" customHeight="1">
      <c r="A35" s="647"/>
      <c r="B35" s="390" t="s">
        <v>67</v>
      </c>
      <c r="C35" s="397">
        <v>38.446666666666665</v>
      </c>
      <c r="D35" s="393"/>
      <c r="E35" s="400">
        <f t="shared" si="2"/>
        <v>-1</v>
      </c>
      <c r="F35" s="397">
        <v>31.99</v>
      </c>
      <c r="G35" s="286"/>
      <c r="H35" s="339">
        <f t="shared" si="3"/>
        <v>-1</v>
      </c>
      <c r="I35" s="397">
        <v>36.229999999999997</v>
      </c>
      <c r="J35" s="286"/>
      <c r="K35" s="339">
        <f t="shared" si="0"/>
        <v>-1</v>
      </c>
      <c r="L35" s="397">
        <v>43.701666666666661</v>
      </c>
      <c r="M35" s="397"/>
      <c r="N35" s="339">
        <f t="shared" si="4"/>
        <v>-1</v>
      </c>
      <c r="O35" s="397">
        <v>48.79</v>
      </c>
      <c r="P35" s="397"/>
      <c r="Q35" s="339">
        <f t="shared" si="5"/>
        <v>-1</v>
      </c>
      <c r="R35" s="397">
        <v>53.075000000000003</v>
      </c>
      <c r="S35" s="397"/>
      <c r="T35" s="339">
        <f t="shared" si="6"/>
        <v>-1</v>
      </c>
      <c r="U35" s="397">
        <f t="shared" si="7"/>
        <v>42.038888888888884</v>
      </c>
      <c r="V35" s="397">
        <f t="shared" si="7"/>
        <v>0</v>
      </c>
      <c r="W35" s="339">
        <f t="shared" si="1"/>
        <v>-1</v>
      </c>
    </row>
    <row r="36" spans="1:44" ht="15" customHeight="1" thickBot="1">
      <c r="A36" s="648"/>
      <c r="B36" s="391" t="s">
        <v>68</v>
      </c>
      <c r="C36" s="398">
        <v>6.9183333333333333E-2</v>
      </c>
      <c r="D36" s="394"/>
      <c r="E36" s="401">
        <f t="shared" si="2"/>
        <v>-1</v>
      </c>
      <c r="F36" s="398">
        <v>6.6799999999999998E-2</v>
      </c>
      <c r="G36" s="49"/>
      <c r="H36" s="340">
        <f t="shared" si="3"/>
        <v>-1</v>
      </c>
      <c r="I36" s="398">
        <v>7.3899999999999993E-2</v>
      </c>
      <c r="J36" s="49"/>
      <c r="K36" s="340">
        <f t="shared" si="0"/>
        <v>-1</v>
      </c>
      <c r="L36" s="398">
        <v>7.9983333333333337E-2</v>
      </c>
      <c r="M36" s="398"/>
      <c r="N36" s="340">
        <f t="shared" si="4"/>
        <v>-1</v>
      </c>
      <c r="O36" s="398">
        <v>9.542500000000001E-2</v>
      </c>
      <c r="P36" s="398"/>
      <c r="Q36" s="340">
        <f t="shared" si="5"/>
        <v>-1</v>
      </c>
      <c r="R36" s="398">
        <v>9.6425000000000011E-2</v>
      </c>
      <c r="S36" s="398"/>
      <c r="T36" s="340">
        <f t="shared" si="6"/>
        <v>-1</v>
      </c>
      <c r="U36" s="398">
        <f t="shared" si="7"/>
        <v>8.0286111111111114E-2</v>
      </c>
      <c r="V36" s="398">
        <f t="shared" si="7"/>
        <v>0</v>
      </c>
      <c r="W36" s="340">
        <f t="shared" si="1"/>
        <v>-1</v>
      </c>
    </row>
    <row r="37" spans="1:44" ht="15.75" customHeight="1">
      <c r="A37" s="322" t="s">
        <v>70</v>
      </c>
      <c r="B37" s="321"/>
    </row>
    <row r="38" spans="1:44" ht="15.75" customHeight="1">
      <c r="A38" s="322" t="s">
        <v>71</v>
      </c>
      <c r="B38" s="323"/>
      <c r="C38" s="4"/>
      <c r="D38" s="1"/>
      <c r="E38" s="1"/>
      <c r="F38" s="1"/>
      <c r="G38" s="4"/>
      <c r="H38" s="4"/>
      <c r="I38" s="4"/>
      <c r="J38" s="24"/>
      <c r="K38" s="24"/>
      <c r="L38" s="24"/>
      <c r="M38" s="24"/>
      <c r="N38" s="24"/>
      <c r="O38" s="24"/>
      <c r="P38" s="24"/>
      <c r="Q38" s="24"/>
      <c r="R38" s="225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</row>
    <row r="39" spans="1:44" ht="15.75" customHeight="1">
      <c r="V39" s="1"/>
      <c r="W39" s="1"/>
      <c r="X39" s="1"/>
    </row>
    <row r="40" spans="1:44" ht="14.25">
      <c r="V40" s="1"/>
      <c r="W40" s="376"/>
      <c r="X40" s="1"/>
    </row>
    <row r="41" spans="1:44" ht="14.25">
      <c r="V41" s="1"/>
      <c r="W41" s="376"/>
      <c r="X41" s="1"/>
    </row>
    <row r="42" spans="1:44" ht="14.25">
      <c r="V42" s="1"/>
      <c r="W42" s="376"/>
      <c r="X42" s="1"/>
    </row>
    <row r="43" spans="1:44" ht="14.25">
      <c r="V43" s="1"/>
      <c r="W43" s="376"/>
      <c r="X43" s="1"/>
    </row>
    <row r="44" spans="1:44" ht="14.25">
      <c r="V44" s="1"/>
      <c r="W44" s="376"/>
      <c r="X44" s="1"/>
    </row>
    <row r="45" spans="1:44" ht="14.25">
      <c r="V45" s="1"/>
      <c r="W45" s="376"/>
      <c r="X45" s="1"/>
    </row>
    <row r="46" spans="1:44" ht="14.25">
      <c r="V46" s="1"/>
      <c r="W46" s="376"/>
      <c r="X46" s="1"/>
    </row>
    <row r="47" spans="1:44" ht="14.25">
      <c r="V47" s="1"/>
      <c r="W47" s="376"/>
      <c r="X47" s="1"/>
    </row>
    <row r="48" spans="1:44" ht="14.25">
      <c r="V48" s="1"/>
      <c r="W48" s="376"/>
      <c r="X48" s="1"/>
    </row>
    <row r="49" spans="22:24" ht="14.25">
      <c r="V49" s="1"/>
      <c r="W49" s="376"/>
      <c r="X49" s="1"/>
    </row>
    <row r="50" spans="22:24" ht="14.25">
      <c r="V50" s="1"/>
      <c r="W50" s="376"/>
      <c r="X50" s="1"/>
    </row>
    <row r="51" spans="22:24" ht="14.25">
      <c r="V51" s="1"/>
      <c r="W51" s="376"/>
      <c r="X51" s="1"/>
    </row>
    <row r="52" spans="22:24" ht="14.25">
      <c r="V52" s="1"/>
      <c r="W52" s="376"/>
      <c r="X52" s="1"/>
    </row>
    <row r="53" spans="22:24" ht="14.25">
      <c r="V53" s="1"/>
      <c r="W53" s="376"/>
      <c r="X53" s="1"/>
    </row>
    <row r="54" spans="22:24" ht="14.25">
      <c r="V54" s="1"/>
      <c r="W54" s="376"/>
      <c r="X54" s="1"/>
    </row>
    <row r="55" spans="22:24" ht="14.25">
      <c r="V55" s="1"/>
      <c r="W55" s="376"/>
      <c r="X55" s="1"/>
    </row>
    <row r="56" spans="22:24" ht="14.25">
      <c r="V56" s="1"/>
      <c r="W56" s="376"/>
      <c r="X56" s="1"/>
    </row>
    <row r="57" spans="22:24" ht="14.25">
      <c r="V57" s="1"/>
      <c r="W57" s="376"/>
      <c r="X57" s="1"/>
    </row>
    <row r="58" spans="22:24" ht="15">
      <c r="V58" s="1"/>
      <c r="W58" s="377"/>
      <c r="X58" s="1"/>
    </row>
    <row r="59" spans="22:24" ht="15">
      <c r="V59" s="1"/>
      <c r="W59" s="377"/>
      <c r="X59" s="1"/>
    </row>
    <row r="60" spans="22:24" ht="15">
      <c r="V60" s="1"/>
      <c r="W60" s="377"/>
      <c r="X60" s="1"/>
    </row>
    <row r="61" spans="22:24">
      <c r="V61" s="1"/>
      <c r="W61" s="1"/>
      <c r="X61" s="1"/>
    </row>
    <row r="62" spans="22:24">
      <c r="V62" s="1"/>
      <c r="W62" s="1"/>
      <c r="X62" s="1"/>
    </row>
    <row r="63" spans="22:24">
      <c r="V63" s="1"/>
      <c r="W63" s="1"/>
      <c r="X63" s="1"/>
    </row>
    <row r="64" spans="22:24">
      <c r="V64" s="1"/>
      <c r="W64" s="1"/>
      <c r="X64" s="1"/>
    </row>
    <row r="65" spans="22:24">
      <c r="V65" s="1"/>
      <c r="W65" s="1"/>
      <c r="X65" s="1"/>
    </row>
    <row r="66" spans="22:24">
      <c r="V66" s="1"/>
      <c r="W66" s="1"/>
      <c r="X66" s="1"/>
    </row>
  </sheetData>
  <mergeCells count="21">
    <mergeCell ref="A19:A21"/>
    <mergeCell ref="A34:A36"/>
    <mergeCell ref="A25:A27"/>
    <mergeCell ref="A28:A30"/>
    <mergeCell ref="A31:A33"/>
    <mergeCell ref="A22:A24"/>
    <mergeCell ref="A1:I1"/>
    <mergeCell ref="A2:I2"/>
    <mergeCell ref="H4:J4"/>
    <mergeCell ref="H5:J5"/>
    <mergeCell ref="A11:W11"/>
    <mergeCell ref="A16:A18"/>
    <mergeCell ref="C14:E14"/>
    <mergeCell ref="B14:B15"/>
    <mergeCell ref="U14:W14"/>
    <mergeCell ref="O14:Q14"/>
    <mergeCell ref="L14:N14"/>
    <mergeCell ref="A14:A15"/>
    <mergeCell ref="I14:K14"/>
    <mergeCell ref="F14:H14"/>
    <mergeCell ref="R14:T14"/>
  </mergeCells>
  <phoneticPr fontId="36" type="noConversion"/>
  <printOptions horizontalCentered="1"/>
  <pageMargins left="0.19685039370078741" right="0.39370078740157483" top="0.68" bottom="0.39370078740157483" header="0" footer="0"/>
  <pageSetup paperSize="9" scale="44" fitToHeight="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2"/>
    <pageSetUpPr fitToPage="1"/>
  </sheetPr>
  <dimension ref="A1:W38"/>
  <sheetViews>
    <sheetView topLeftCell="A2" zoomScale="55" workbookViewId="0">
      <selection activeCell="T40" sqref="T39:T40"/>
    </sheetView>
  </sheetViews>
  <sheetFormatPr baseColWidth="10" defaultRowHeight="12.75"/>
  <cols>
    <col min="1" max="1" width="30.28515625" customWidth="1"/>
    <col min="2" max="2" width="25.28515625" customWidth="1"/>
    <col min="3" max="21" width="12.7109375" customWidth="1"/>
    <col min="22" max="22" width="14.7109375" bestFit="1" customWidth="1"/>
    <col min="23" max="23" width="12.7109375" customWidth="1"/>
  </cols>
  <sheetData>
    <row r="1" spans="1:23" ht="20.25">
      <c r="A1" s="661" t="s">
        <v>16</v>
      </c>
      <c r="B1" s="661"/>
      <c r="C1" s="661"/>
      <c r="D1" s="661"/>
      <c r="E1" s="661"/>
      <c r="F1" s="661"/>
      <c r="G1" s="661"/>
      <c r="H1" s="661"/>
      <c r="I1" s="661"/>
    </row>
    <row r="2" spans="1:23" ht="20.25">
      <c r="A2" s="629" t="s">
        <v>182</v>
      </c>
      <c r="B2" s="629"/>
      <c r="C2" s="629"/>
      <c r="D2" s="629"/>
      <c r="E2" s="629"/>
      <c r="F2" s="629"/>
      <c r="G2" s="629"/>
      <c r="H2" s="629"/>
      <c r="I2" s="629"/>
    </row>
    <row r="3" spans="1:23" ht="21" thickBot="1">
      <c r="A3" s="143"/>
      <c r="B3" s="143"/>
      <c r="D3" s="143"/>
      <c r="E3" s="143"/>
      <c r="F3" s="143"/>
      <c r="G3" s="143"/>
      <c r="H3" s="143"/>
    </row>
    <row r="4" spans="1:23" ht="16.5" thickTop="1" thickBot="1">
      <c r="A4" s="12"/>
      <c r="B4" s="1"/>
      <c r="C4" s="134"/>
      <c r="H4" s="662" t="e">
        <f>#REF!</f>
        <v>#REF!</v>
      </c>
      <c r="I4" s="663"/>
      <c r="J4" s="664"/>
    </row>
    <row r="5" spans="1:23" ht="16.5" thickTop="1" thickBot="1">
      <c r="A5" s="295" t="s">
        <v>17</v>
      </c>
      <c r="B5" s="296"/>
      <c r="C5" s="296"/>
      <c r="D5" s="297"/>
      <c r="H5" s="665" t="e">
        <f>#REF!</f>
        <v>#REF!</v>
      </c>
      <c r="I5" s="666"/>
      <c r="J5" s="667"/>
    </row>
    <row r="6" spans="1:23" ht="15.75" thickTop="1">
      <c r="A6" s="298" t="s">
        <v>188</v>
      </c>
      <c r="B6" s="152"/>
      <c r="C6" s="152"/>
      <c r="D6" s="299"/>
    </row>
    <row r="7" spans="1:23" ht="15.75" thickBot="1">
      <c r="A7" s="300" t="s">
        <v>251</v>
      </c>
      <c r="B7" s="301"/>
      <c r="C7" s="301"/>
      <c r="D7" s="302"/>
      <c r="E7" s="135"/>
      <c r="F7" s="135"/>
      <c r="G7" s="135"/>
      <c r="H7" s="135"/>
    </row>
    <row r="8" spans="1:23">
      <c r="A8" s="1"/>
      <c r="B8" s="1"/>
      <c r="C8" s="1"/>
      <c r="D8" s="1"/>
      <c r="E8" s="1"/>
      <c r="F8" s="1"/>
      <c r="G8" s="1"/>
      <c r="H8" s="1"/>
      <c r="I8" s="1"/>
    </row>
    <row r="9" spans="1:23">
      <c r="C9" s="1"/>
      <c r="E9" s="141"/>
      <c r="F9" s="141"/>
      <c r="G9" s="141"/>
      <c r="H9" s="141"/>
      <c r="I9" s="1"/>
    </row>
    <row r="10" spans="1:23" ht="13.5" thickBot="1">
      <c r="A10" s="1"/>
      <c r="B10" s="1"/>
      <c r="C10" s="1"/>
      <c r="D10" s="1"/>
      <c r="F10" s="1"/>
      <c r="G10" s="1"/>
      <c r="H10" s="1"/>
      <c r="I10" s="1"/>
    </row>
    <row r="11" spans="1:23" ht="26.25" thickBot="1">
      <c r="A11" s="637" t="s">
        <v>247</v>
      </c>
      <c r="B11" s="638"/>
      <c r="C11" s="638"/>
      <c r="D11" s="638"/>
      <c r="E11" s="638"/>
      <c r="F11" s="638"/>
      <c r="G11" s="638"/>
      <c r="H11" s="638"/>
      <c r="I11" s="638"/>
      <c r="J11" s="638"/>
      <c r="K11" s="638"/>
      <c r="L11" s="638"/>
      <c r="M11" s="638"/>
      <c r="N11" s="638"/>
      <c r="O11" s="638"/>
      <c r="P11" s="638"/>
      <c r="Q11" s="638"/>
      <c r="R11" s="638"/>
      <c r="S11" s="638"/>
      <c r="T11" s="638"/>
      <c r="U11" s="638"/>
      <c r="V11" s="638"/>
      <c r="W11" s="639"/>
    </row>
    <row r="13" spans="1:23" ht="13.5" thickBot="1"/>
    <row r="14" spans="1:23">
      <c r="A14" s="658" t="s">
        <v>64</v>
      </c>
      <c r="B14" s="652" t="s">
        <v>65</v>
      </c>
      <c r="C14" s="649" t="s">
        <v>157</v>
      </c>
      <c r="D14" s="650"/>
      <c r="E14" s="651"/>
      <c r="F14" s="655" t="s">
        <v>158</v>
      </c>
      <c r="G14" s="656"/>
      <c r="H14" s="660"/>
      <c r="I14" s="657" t="s">
        <v>207</v>
      </c>
      <c r="J14" s="650"/>
      <c r="K14" s="651"/>
      <c r="L14" s="657" t="s">
        <v>208</v>
      </c>
      <c r="M14" s="650"/>
      <c r="N14" s="651"/>
      <c r="O14" s="655" t="s">
        <v>209</v>
      </c>
      <c r="P14" s="656"/>
      <c r="Q14" s="656"/>
      <c r="R14" s="655" t="s">
        <v>210</v>
      </c>
      <c r="S14" s="656"/>
      <c r="T14" s="656"/>
      <c r="U14" s="654" t="s">
        <v>263</v>
      </c>
      <c r="V14" s="650"/>
      <c r="W14" s="673"/>
    </row>
    <row r="15" spans="1:23" ht="15" thickBot="1">
      <c r="A15" s="659"/>
      <c r="B15" s="653"/>
      <c r="C15" s="317">
        <v>2007</v>
      </c>
      <c r="D15" s="317">
        <v>2008</v>
      </c>
      <c r="E15" s="337" t="s">
        <v>214</v>
      </c>
      <c r="F15" s="317">
        <v>2007</v>
      </c>
      <c r="G15" s="317">
        <v>2008</v>
      </c>
      <c r="H15" s="337" t="s">
        <v>214</v>
      </c>
      <c r="I15" s="317">
        <v>2007</v>
      </c>
      <c r="J15" s="317">
        <v>2008</v>
      </c>
      <c r="K15" s="337" t="s">
        <v>214</v>
      </c>
      <c r="L15" s="317">
        <v>2007</v>
      </c>
      <c r="M15" s="317">
        <v>2008</v>
      </c>
      <c r="N15" s="337" t="s">
        <v>214</v>
      </c>
      <c r="O15" s="317">
        <v>2007</v>
      </c>
      <c r="P15" s="317">
        <v>2008</v>
      </c>
      <c r="Q15" s="337" t="s">
        <v>214</v>
      </c>
      <c r="R15" s="317">
        <v>2007</v>
      </c>
      <c r="S15" s="317">
        <v>2008</v>
      </c>
      <c r="T15" s="337" t="s">
        <v>214</v>
      </c>
      <c r="U15" s="319">
        <v>2007</v>
      </c>
      <c r="V15" s="316">
        <v>2008</v>
      </c>
      <c r="W15" s="337" t="s">
        <v>214</v>
      </c>
    </row>
    <row r="16" spans="1:23" ht="14.25">
      <c r="A16" s="646" t="s">
        <v>204</v>
      </c>
      <c r="B16" s="242" t="s">
        <v>66</v>
      </c>
      <c r="C16" s="161">
        <v>408.42</v>
      </c>
      <c r="D16" s="166">
        <v>423.7</v>
      </c>
      <c r="E16" s="331">
        <f t="shared" ref="E16:E36" si="0">(D16-C16)/C16</f>
        <v>3.7412467557906011E-2</v>
      </c>
      <c r="F16" s="161">
        <v>442.74</v>
      </c>
      <c r="G16" s="161">
        <v>408.28</v>
      </c>
      <c r="H16" s="331">
        <f>(G16-F16)/F16</f>
        <v>-7.7833491439671221E-2</v>
      </c>
      <c r="I16" s="161">
        <v>445.42</v>
      </c>
      <c r="J16" s="166">
        <v>426.29</v>
      </c>
      <c r="K16" s="331">
        <f>(J16-I16)/I16</f>
        <v>-4.2948228638139276E-2</v>
      </c>
      <c r="L16" s="161">
        <v>433.87</v>
      </c>
      <c r="M16" s="166">
        <v>416.14</v>
      </c>
      <c r="N16" s="331">
        <f>(M16-L16)/L16</f>
        <v>-4.0864775163067323E-2</v>
      </c>
      <c r="O16" s="161">
        <v>430.12</v>
      </c>
      <c r="P16" s="166">
        <v>457.68</v>
      </c>
      <c r="Q16" s="331">
        <f>(P16-O16)/O16</f>
        <v>6.4075141820887194E-2</v>
      </c>
      <c r="R16" s="161">
        <v>393.67</v>
      </c>
      <c r="S16" s="166"/>
      <c r="T16" s="331">
        <f>(S16-R16)/R16</f>
        <v>-1</v>
      </c>
      <c r="U16" s="501">
        <f>(C16)</f>
        <v>408.42</v>
      </c>
      <c r="V16" s="166">
        <f>AVERAGE(D16,G16,J16,M16,P16,S16)</f>
        <v>426.41799999999995</v>
      </c>
      <c r="W16" s="331">
        <f>(V16-U16)/U16</f>
        <v>4.4067381616962768E-2</v>
      </c>
    </row>
    <row r="17" spans="1:23" ht="14.25">
      <c r="A17" s="647"/>
      <c r="B17" s="238" t="s">
        <v>67</v>
      </c>
      <c r="C17" s="163">
        <v>30.17</v>
      </c>
      <c r="D17" s="162">
        <v>54.82</v>
      </c>
      <c r="E17" s="332">
        <f t="shared" si="0"/>
        <v>0.81703679151474962</v>
      </c>
      <c r="F17" s="163">
        <v>34.64</v>
      </c>
      <c r="G17" s="163">
        <v>48.826999999999998</v>
      </c>
      <c r="H17" s="332">
        <f t="shared" ref="H17:H36" si="1">(G17-F17)/F17</f>
        <v>0.40955542725173205</v>
      </c>
      <c r="I17" s="163">
        <v>33.770000000000003</v>
      </c>
      <c r="J17" s="162">
        <v>50.524700000000003</v>
      </c>
      <c r="K17" s="332">
        <f t="shared" ref="K17:K33" si="2">(J17-I17)/I17</f>
        <v>0.49614154575066621</v>
      </c>
      <c r="L17" s="163">
        <v>34.229999999999997</v>
      </c>
      <c r="M17" s="162">
        <v>49.05</v>
      </c>
      <c r="N17" s="332">
        <f t="shared" ref="N17:N36" si="3">(M17-L17)/L17</f>
        <v>0.43295354951796672</v>
      </c>
      <c r="O17" s="163">
        <v>33.75</v>
      </c>
      <c r="P17" s="162">
        <v>45.046799999999998</v>
      </c>
      <c r="Q17" s="332">
        <f t="shared" ref="Q17:Q36" si="4">(P17-O17)/O17</f>
        <v>0.33471999999999991</v>
      </c>
      <c r="R17" s="163">
        <v>35.32</v>
      </c>
      <c r="S17" s="162"/>
      <c r="T17" s="332">
        <f t="shared" ref="T17:T36" si="5">(S17-R17)/R17</f>
        <v>-1</v>
      </c>
      <c r="U17" s="499">
        <f t="shared" ref="U17:U36" si="6">(C17)</f>
        <v>30.17</v>
      </c>
      <c r="V17" s="162">
        <f t="shared" ref="V17:V36" si="7">AVERAGE(D17,G17,J17,M17,P17,S17)</f>
        <v>49.653700000000001</v>
      </c>
      <c r="W17" s="332">
        <f t="shared" ref="W17:W36" si="8">(V17-U17)/U17</f>
        <v>0.64579714948624456</v>
      </c>
    </row>
    <row r="18" spans="1:23" ht="15" thickBot="1">
      <c r="A18" s="648"/>
      <c r="B18" s="243" t="s">
        <v>68</v>
      </c>
      <c r="C18" s="165">
        <v>7.3899999999999993E-2</v>
      </c>
      <c r="D18" s="164">
        <v>0.12939999999999999</v>
      </c>
      <c r="E18" s="333">
        <f t="shared" si="0"/>
        <v>0.75101488497970226</v>
      </c>
      <c r="F18" s="165">
        <v>7.8200000000000006E-2</v>
      </c>
      <c r="G18" s="165">
        <v>0.1196</v>
      </c>
      <c r="H18" s="333">
        <f t="shared" si="1"/>
        <v>0.52941176470588225</v>
      </c>
      <c r="I18" s="165">
        <v>7.5800000000000006E-2</v>
      </c>
      <c r="J18" s="164">
        <v>0.11849999999999999</v>
      </c>
      <c r="K18" s="333">
        <f t="shared" si="2"/>
        <v>0.56332453825857498</v>
      </c>
      <c r="L18" s="165">
        <v>7.9799999999999996E-2</v>
      </c>
      <c r="M18" s="164">
        <v>0.1179</v>
      </c>
      <c r="N18" s="333">
        <f t="shared" si="3"/>
        <v>0.4774436090225565</v>
      </c>
      <c r="O18" s="165">
        <v>7.85E-2</v>
      </c>
      <c r="P18" s="164">
        <v>9.8400000000000001E-2</v>
      </c>
      <c r="Q18" s="333">
        <f t="shared" si="4"/>
        <v>0.2535031847133758</v>
      </c>
      <c r="R18" s="165">
        <v>8.9700000000000002E-2</v>
      </c>
      <c r="S18" s="164"/>
      <c r="T18" s="333">
        <f t="shared" si="5"/>
        <v>-1</v>
      </c>
      <c r="U18" s="500">
        <f t="shared" si="6"/>
        <v>7.3899999999999993E-2</v>
      </c>
      <c r="V18" s="164">
        <f t="shared" si="7"/>
        <v>0.11676</v>
      </c>
      <c r="W18" s="333">
        <f t="shared" si="8"/>
        <v>0.57997293640054148</v>
      </c>
    </row>
    <row r="19" spans="1:23" ht="14.25">
      <c r="A19" s="668" t="s">
        <v>196</v>
      </c>
      <c r="B19" s="242" t="s">
        <v>66</v>
      </c>
      <c r="C19" s="167">
        <v>358.61</v>
      </c>
      <c r="D19" s="166">
        <v>359.63</v>
      </c>
      <c r="E19" s="331">
        <f t="shared" si="0"/>
        <v>2.84431555171351E-3</v>
      </c>
      <c r="F19" s="167">
        <v>365.41</v>
      </c>
      <c r="G19" s="167">
        <v>359.05</v>
      </c>
      <c r="H19" s="331">
        <f t="shared" si="1"/>
        <v>-1.7405106592594657E-2</v>
      </c>
      <c r="I19" s="167">
        <v>371.17</v>
      </c>
      <c r="J19" s="166">
        <v>377.7</v>
      </c>
      <c r="K19" s="331">
        <f t="shared" si="2"/>
        <v>1.7593016676994293E-2</v>
      </c>
      <c r="L19" s="167">
        <v>364.67</v>
      </c>
      <c r="M19" s="166">
        <v>367.43</v>
      </c>
      <c r="N19" s="331">
        <f t="shared" si="3"/>
        <v>7.5684865769051219E-3</v>
      </c>
      <c r="O19" s="167">
        <v>389.8</v>
      </c>
      <c r="P19" s="166">
        <v>373.87</v>
      </c>
      <c r="Q19" s="331">
        <f t="shared" si="4"/>
        <v>-4.0867111339148297E-2</v>
      </c>
      <c r="R19" s="167">
        <v>372.94</v>
      </c>
      <c r="S19" s="166"/>
      <c r="T19" s="331">
        <f t="shared" si="5"/>
        <v>-1</v>
      </c>
      <c r="U19" s="502">
        <f t="shared" si="6"/>
        <v>358.61</v>
      </c>
      <c r="V19" s="166">
        <f t="shared" si="7"/>
        <v>367.53600000000006</v>
      </c>
      <c r="W19" s="331">
        <f t="shared" si="8"/>
        <v>2.4890549622152321E-2</v>
      </c>
    </row>
    <row r="20" spans="1:23" ht="14.25">
      <c r="A20" s="647"/>
      <c r="B20" s="238" t="s">
        <v>67</v>
      </c>
      <c r="C20" s="163">
        <v>28.21</v>
      </c>
      <c r="D20" s="162">
        <v>32.67</v>
      </c>
      <c r="E20" s="332">
        <f t="shared" si="0"/>
        <v>0.15809996455157749</v>
      </c>
      <c r="F20" s="163">
        <v>28.71</v>
      </c>
      <c r="G20" s="163">
        <v>32.828699999999998</v>
      </c>
      <c r="H20" s="332">
        <f t="shared" si="1"/>
        <v>0.14345872518286301</v>
      </c>
      <c r="I20" s="163">
        <v>28.65</v>
      </c>
      <c r="J20" s="162">
        <v>36.7971</v>
      </c>
      <c r="K20" s="332">
        <f t="shared" si="2"/>
        <v>0.28436649214659693</v>
      </c>
      <c r="L20" s="163">
        <v>28.45</v>
      </c>
      <c r="M20" s="162">
        <v>35.366199999999999</v>
      </c>
      <c r="N20" s="332">
        <f t="shared" si="3"/>
        <v>0.24310017574692444</v>
      </c>
      <c r="O20" s="163">
        <v>29.68</v>
      </c>
      <c r="P20" s="162">
        <v>37.389699999999998</v>
      </c>
      <c r="Q20" s="332">
        <f t="shared" si="4"/>
        <v>0.25976078167115896</v>
      </c>
      <c r="R20" s="163">
        <v>29.3</v>
      </c>
      <c r="S20" s="162"/>
      <c r="T20" s="332">
        <f t="shared" si="5"/>
        <v>-1</v>
      </c>
      <c r="U20" s="499">
        <f t="shared" si="6"/>
        <v>28.21</v>
      </c>
      <c r="V20" s="162">
        <f t="shared" si="7"/>
        <v>35.010339999999999</v>
      </c>
      <c r="W20" s="332">
        <f t="shared" si="8"/>
        <v>0.24106132577100314</v>
      </c>
    </row>
    <row r="21" spans="1:23" ht="15" thickBot="1">
      <c r="A21" s="648"/>
      <c r="B21" s="243" t="s">
        <v>68</v>
      </c>
      <c r="C21" s="165">
        <v>7.8700000000000006E-2</v>
      </c>
      <c r="D21" s="164">
        <v>9.0899999999999995E-2</v>
      </c>
      <c r="E21" s="333">
        <f t="shared" si="0"/>
        <v>0.15501905972045726</v>
      </c>
      <c r="F21" s="165">
        <v>7.8600000000000003E-2</v>
      </c>
      <c r="G21" s="165">
        <v>9.1399999999999995E-2</v>
      </c>
      <c r="H21" s="333">
        <f t="shared" si="1"/>
        <v>0.1628498727735368</v>
      </c>
      <c r="I21" s="165">
        <v>7.7200000000000005E-2</v>
      </c>
      <c r="J21" s="164">
        <v>9.74E-2</v>
      </c>
      <c r="K21" s="333">
        <f t="shared" si="2"/>
        <v>0.26165803108808283</v>
      </c>
      <c r="L21" s="165">
        <v>7.8E-2</v>
      </c>
      <c r="M21" s="164">
        <v>9.6299999999999997E-2</v>
      </c>
      <c r="N21" s="333">
        <f t="shared" si="3"/>
        <v>0.23461538461538459</v>
      </c>
      <c r="O21" s="165">
        <v>7.6100000000000001E-2</v>
      </c>
      <c r="P21" s="164">
        <v>0.1</v>
      </c>
      <c r="Q21" s="333">
        <f t="shared" si="4"/>
        <v>0.31406044678055195</v>
      </c>
      <c r="R21" s="165">
        <v>7.8600000000000003E-2</v>
      </c>
      <c r="S21" s="164"/>
      <c r="T21" s="333">
        <f t="shared" si="5"/>
        <v>-1</v>
      </c>
      <c r="U21" s="500">
        <f t="shared" si="6"/>
        <v>7.8700000000000006E-2</v>
      </c>
      <c r="V21" s="164">
        <f t="shared" si="7"/>
        <v>9.5199999999999993E-2</v>
      </c>
      <c r="W21" s="333">
        <f t="shared" si="8"/>
        <v>0.20965692503176603</v>
      </c>
    </row>
    <row r="22" spans="1:23" ht="14.25">
      <c r="A22" s="646" t="s">
        <v>248</v>
      </c>
      <c r="B22" s="242" t="s">
        <v>66</v>
      </c>
      <c r="C22" s="167">
        <v>636.15</v>
      </c>
      <c r="D22" s="166">
        <v>553.97</v>
      </c>
      <c r="E22" s="331">
        <f t="shared" si="0"/>
        <v>-0.12918336870235</v>
      </c>
      <c r="F22" s="167">
        <v>487.59</v>
      </c>
      <c r="G22" s="167">
        <v>565.27</v>
      </c>
      <c r="H22" s="331">
        <f t="shared" si="1"/>
        <v>0.15931417789536292</v>
      </c>
      <c r="I22" s="167">
        <v>502.2</v>
      </c>
      <c r="J22" s="166">
        <v>593.78</v>
      </c>
      <c r="K22" s="331">
        <f t="shared" si="2"/>
        <v>0.18235762644364792</v>
      </c>
      <c r="L22" s="167">
        <v>494.58</v>
      </c>
      <c r="M22" s="166">
        <v>558.88</v>
      </c>
      <c r="N22" s="331">
        <f t="shared" si="3"/>
        <v>0.13000930082089857</v>
      </c>
      <c r="O22" s="167">
        <v>477.31</v>
      </c>
      <c r="P22" s="166">
        <v>565.4</v>
      </c>
      <c r="Q22" s="331">
        <f t="shared" si="4"/>
        <v>0.18455511093419366</v>
      </c>
      <c r="R22" s="167">
        <v>498.97</v>
      </c>
      <c r="S22" s="166"/>
      <c r="T22" s="331">
        <f t="shared" si="5"/>
        <v>-1</v>
      </c>
      <c r="U22" s="502">
        <f t="shared" si="6"/>
        <v>636.15</v>
      </c>
      <c r="V22" s="166">
        <f t="shared" si="7"/>
        <v>567.46</v>
      </c>
      <c r="W22" s="331">
        <f t="shared" si="8"/>
        <v>-0.10797767822054538</v>
      </c>
    </row>
    <row r="23" spans="1:23" ht="14.25">
      <c r="A23" s="671"/>
      <c r="B23" s="238" t="s">
        <v>67</v>
      </c>
      <c r="C23" s="163">
        <v>32.409999999999997</v>
      </c>
      <c r="D23" s="162">
        <v>37.07</v>
      </c>
      <c r="E23" s="332">
        <f t="shared" si="0"/>
        <v>0.1437827830916385</v>
      </c>
      <c r="F23" s="163">
        <v>27.82</v>
      </c>
      <c r="G23" s="163">
        <v>41.351300000000002</v>
      </c>
      <c r="H23" s="332">
        <f t="shared" si="1"/>
        <v>0.4863874910136593</v>
      </c>
      <c r="I23" s="163">
        <v>29.72</v>
      </c>
      <c r="J23" s="162">
        <v>42.2485</v>
      </c>
      <c r="K23" s="332">
        <f t="shared" si="2"/>
        <v>0.42155114401076721</v>
      </c>
      <c r="L23" s="163">
        <v>29.1</v>
      </c>
      <c r="M23" s="162">
        <v>46.112499999999997</v>
      </c>
      <c r="N23" s="332">
        <f t="shared" si="3"/>
        <v>0.58462199312714758</v>
      </c>
      <c r="O23" s="163">
        <v>27.28</v>
      </c>
      <c r="P23" s="162">
        <v>50.714199999999998</v>
      </c>
      <c r="Q23" s="332">
        <f t="shared" si="4"/>
        <v>0.85902492668621688</v>
      </c>
      <c r="R23" s="163">
        <v>28.4</v>
      </c>
      <c r="S23" s="162"/>
      <c r="T23" s="332">
        <f t="shared" si="5"/>
        <v>-1</v>
      </c>
      <c r="U23" s="499">
        <f t="shared" si="6"/>
        <v>32.409999999999997</v>
      </c>
      <c r="V23" s="162">
        <f t="shared" si="7"/>
        <v>43.499300000000005</v>
      </c>
      <c r="W23" s="332">
        <f t="shared" si="8"/>
        <v>0.34215674174637489</v>
      </c>
    </row>
    <row r="24" spans="1:23" ht="15" thickBot="1">
      <c r="A24" s="672"/>
      <c r="B24" s="243" t="s">
        <v>68</v>
      </c>
      <c r="C24" s="165">
        <v>5.0999999999999997E-2</v>
      </c>
      <c r="D24" s="164">
        <v>6.9900000000000004E-2</v>
      </c>
      <c r="E24" s="333">
        <f t="shared" si="0"/>
        <v>0.37058823529411783</v>
      </c>
      <c r="F24" s="165">
        <v>5.7099999999999998E-2</v>
      </c>
      <c r="G24" s="165">
        <v>7.3200000000000001E-2</v>
      </c>
      <c r="H24" s="333">
        <f t="shared" si="1"/>
        <v>0.28196147110332759</v>
      </c>
      <c r="I24" s="165">
        <v>5.9200000000000003E-2</v>
      </c>
      <c r="J24" s="164">
        <v>7.1199999999999999E-2</v>
      </c>
      <c r="K24" s="333">
        <f t="shared" si="2"/>
        <v>0.20270270270270263</v>
      </c>
      <c r="L24" s="165">
        <v>6.08E-2</v>
      </c>
      <c r="M24" s="164">
        <v>8.2500000000000004E-2</v>
      </c>
      <c r="N24" s="333">
        <f t="shared" si="3"/>
        <v>0.35690789473684215</v>
      </c>
      <c r="O24" s="165">
        <v>5.7200000000000001E-2</v>
      </c>
      <c r="P24" s="164">
        <v>8.9700000000000002E-2</v>
      </c>
      <c r="Q24" s="333">
        <f t="shared" si="4"/>
        <v>0.56818181818181823</v>
      </c>
      <c r="R24" s="165">
        <v>5.6899999999999999E-2</v>
      </c>
      <c r="S24" s="164"/>
      <c r="T24" s="333">
        <f t="shared" si="5"/>
        <v>-1</v>
      </c>
      <c r="U24" s="500">
        <f t="shared" si="6"/>
        <v>5.0999999999999997E-2</v>
      </c>
      <c r="V24" s="164">
        <f t="shared" si="7"/>
        <v>7.7300000000000008E-2</v>
      </c>
      <c r="W24" s="333">
        <f t="shared" si="8"/>
        <v>0.5156862745098042</v>
      </c>
    </row>
    <row r="25" spans="1:23" ht="14.25">
      <c r="A25" s="646" t="s">
        <v>205</v>
      </c>
      <c r="B25" s="242" t="s">
        <v>66</v>
      </c>
      <c r="C25" s="167">
        <v>560.45000000000005</v>
      </c>
      <c r="D25" s="166">
        <v>492.21</v>
      </c>
      <c r="E25" s="331">
        <f t="shared" si="0"/>
        <v>-0.12175930056204846</v>
      </c>
      <c r="F25" s="167">
        <v>555.1</v>
      </c>
      <c r="G25" s="167">
        <v>489.19</v>
      </c>
      <c r="H25" s="331">
        <f t="shared" si="1"/>
        <v>-0.11873536299765812</v>
      </c>
      <c r="I25" s="167">
        <v>504.73</v>
      </c>
      <c r="J25" s="166">
        <v>462.17</v>
      </c>
      <c r="K25" s="331">
        <f t="shared" si="2"/>
        <v>-8.4322310938521591E-2</v>
      </c>
      <c r="L25" s="167">
        <v>494.58</v>
      </c>
      <c r="M25" s="166">
        <v>481.69</v>
      </c>
      <c r="N25" s="331">
        <f t="shared" si="3"/>
        <v>-2.6062517691778857E-2</v>
      </c>
      <c r="O25" s="167">
        <v>491.54</v>
      </c>
      <c r="P25" s="166">
        <v>461.84</v>
      </c>
      <c r="Q25" s="331">
        <f t="shared" si="4"/>
        <v>-6.0422346095943449E-2</v>
      </c>
      <c r="R25" s="167">
        <v>475.26</v>
      </c>
      <c r="S25" s="166"/>
      <c r="T25" s="331">
        <f t="shared" si="5"/>
        <v>-1</v>
      </c>
      <c r="U25" s="502">
        <f t="shared" si="6"/>
        <v>560.45000000000005</v>
      </c>
      <c r="V25" s="166">
        <f t="shared" si="7"/>
        <v>477.41999999999996</v>
      </c>
      <c r="W25" s="331">
        <f t="shared" si="8"/>
        <v>-0.1481488089927738</v>
      </c>
    </row>
    <row r="26" spans="1:23" ht="14.25">
      <c r="A26" s="647"/>
      <c r="B26" s="238" t="s">
        <v>67</v>
      </c>
      <c r="C26" s="163">
        <v>36.19</v>
      </c>
      <c r="D26" s="162">
        <v>39.369999999999997</v>
      </c>
      <c r="E26" s="332">
        <f t="shared" si="0"/>
        <v>8.7869577231279361E-2</v>
      </c>
      <c r="F26" s="163">
        <v>35.71</v>
      </c>
      <c r="G26" s="163">
        <v>41.890799999999999</v>
      </c>
      <c r="H26" s="332">
        <f t="shared" si="1"/>
        <v>0.17308316998039758</v>
      </c>
      <c r="I26" s="163">
        <v>32.659999999999997</v>
      </c>
      <c r="J26" s="162">
        <v>39.963000000000001</v>
      </c>
      <c r="K26" s="332">
        <f t="shared" si="2"/>
        <v>0.22360685854255985</v>
      </c>
      <c r="L26" s="163">
        <v>32.44</v>
      </c>
      <c r="M26" s="162">
        <v>38.816400000000002</v>
      </c>
      <c r="N26" s="332">
        <f t="shared" si="3"/>
        <v>0.19655980271270052</v>
      </c>
      <c r="O26" s="163">
        <v>33.07</v>
      </c>
      <c r="P26" s="162">
        <v>37.359400000000001</v>
      </c>
      <c r="Q26" s="332">
        <f t="shared" si="4"/>
        <v>0.12970668279407319</v>
      </c>
      <c r="R26" s="163">
        <v>31.39</v>
      </c>
      <c r="S26" s="162"/>
      <c r="T26" s="332">
        <f t="shared" si="5"/>
        <v>-1</v>
      </c>
      <c r="U26" s="499">
        <f t="shared" si="6"/>
        <v>36.19</v>
      </c>
      <c r="V26" s="162">
        <f t="shared" si="7"/>
        <v>39.479919999999993</v>
      </c>
      <c r="W26" s="332">
        <f t="shared" si="8"/>
        <v>9.090688035368874E-2</v>
      </c>
    </row>
    <row r="27" spans="1:23" ht="15" thickBot="1">
      <c r="A27" s="648"/>
      <c r="B27" s="243" t="s">
        <v>68</v>
      </c>
      <c r="C27" s="165">
        <v>6.4600000000000005E-2</v>
      </c>
      <c r="D27" s="164">
        <v>0.08</v>
      </c>
      <c r="E27" s="333">
        <f t="shared" si="0"/>
        <v>0.23839009287925692</v>
      </c>
      <c r="F27" s="165">
        <v>6.4299999999999996E-2</v>
      </c>
      <c r="G27" s="165">
        <v>8.5599999999999996E-2</v>
      </c>
      <c r="H27" s="333">
        <f t="shared" si="1"/>
        <v>0.33125972006220838</v>
      </c>
      <c r="I27" s="165">
        <v>6.4699999999999994E-2</v>
      </c>
      <c r="J27" s="164">
        <v>8.6499999999999994E-2</v>
      </c>
      <c r="K27" s="333">
        <f t="shared" si="2"/>
        <v>0.33693972179289028</v>
      </c>
      <c r="L27" s="165">
        <v>6.5600000000000006E-2</v>
      </c>
      <c r="M27" s="164">
        <v>8.0600000000000005E-2</v>
      </c>
      <c r="N27" s="333">
        <f t="shared" si="3"/>
        <v>0.22865853658536583</v>
      </c>
      <c r="O27" s="165">
        <v>6.7299999999999999E-2</v>
      </c>
      <c r="P27" s="164">
        <v>8.09E-2</v>
      </c>
      <c r="Q27" s="333">
        <f t="shared" si="4"/>
        <v>0.2020802377414562</v>
      </c>
      <c r="R27" s="165">
        <v>6.6100000000000006E-2</v>
      </c>
      <c r="S27" s="164"/>
      <c r="T27" s="333">
        <f t="shared" si="5"/>
        <v>-1</v>
      </c>
      <c r="U27" s="500">
        <f t="shared" si="6"/>
        <v>6.4600000000000005E-2</v>
      </c>
      <c r="V27" s="164">
        <f t="shared" si="7"/>
        <v>8.2719999999999988E-2</v>
      </c>
      <c r="W27" s="333">
        <f t="shared" si="8"/>
        <v>0.28049535603715142</v>
      </c>
    </row>
    <row r="28" spans="1:23" ht="14.25">
      <c r="A28" s="677" t="s">
        <v>249</v>
      </c>
      <c r="B28" s="242" t="s">
        <v>66</v>
      </c>
      <c r="C28" s="167">
        <v>740.31</v>
      </c>
      <c r="D28" s="166">
        <v>740.4</v>
      </c>
      <c r="E28" s="331">
        <f t="shared" si="0"/>
        <v>1.2157069335823079E-4</v>
      </c>
      <c r="F28" s="167">
        <v>734.16</v>
      </c>
      <c r="G28" s="167">
        <v>769.34</v>
      </c>
      <c r="H28" s="331">
        <f t="shared" si="1"/>
        <v>4.791870981802341E-2</v>
      </c>
      <c r="I28" s="167">
        <v>744.13</v>
      </c>
      <c r="J28" s="166">
        <v>752.68</v>
      </c>
      <c r="K28" s="331">
        <f t="shared" si="2"/>
        <v>1.1489927835190027E-2</v>
      </c>
      <c r="L28" s="167">
        <v>714.29</v>
      </c>
      <c r="M28" s="166">
        <v>790.11</v>
      </c>
      <c r="N28" s="331">
        <f t="shared" si="3"/>
        <v>0.10614736311582137</v>
      </c>
      <c r="O28" s="167">
        <v>693.35</v>
      </c>
      <c r="P28" s="166">
        <v>757.27</v>
      </c>
      <c r="Q28" s="331">
        <f t="shared" si="4"/>
        <v>9.2190091584336858E-2</v>
      </c>
      <c r="R28" s="167">
        <v>704.4</v>
      </c>
      <c r="S28" s="166"/>
      <c r="T28" s="331">
        <f t="shared" si="5"/>
        <v>-1</v>
      </c>
      <c r="U28" s="502">
        <f t="shared" si="6"/>
        <v>740.31</v>
      </c>
      <c r="V28" s="166">
        <f t="shared" si="7"/>
        <v>761.96</v>
      </c>
      <c r="W28" s="331">
        <f t="shared" si="8"/>
        <v>2.9244505680053077E-2</v>
      </c>
    </row>
    <row r="29" spans="1:23" ht="14.25">
      <c r="A29" s="678"/>
      <c r="B29" s="238" t="s">
        <v>67</v>
      </c>
      <c r="C29" s="163">
        <v>36.92</v>
      </c>
      <c r="D29" s="162">
        <v>55.08</v>
      </c>
      <c r="E29" s="332">
        <f t="shared" si="0"/>
        <v>0.49187432286023824</v>
      </c>
      <c r="F29" s="163">
        <v>37.4</v>
      </c>
      <c r="G29" s="163">
        <v>57.911000000000001</v>
      </c>
      <c r="H29" s="332">
        <f t="shared" si="1"/>
        <v>0.54842245989304828</v>
      </c>
      <c r="I29" s="163">
        <v>38.380000000000003</v>
      </c>
      <c r="J29" s="162">
        <v>59.371899999999997</v>
      </c>
      <c r="K29" s="332">
        <f t="shared" si="2"/>
        <v>0.54694893173527859</v>
      </c>
      <c r="L29" s="163">
        <v>39.299999999999997</v>
      </c>
      <c r="M29" s="162">
        <v>59.607100000000003</v>
      </c>
      <c r="N29" s="332">
        <f t="shared" si="3"/>
        <v>0.51672010178117067</v>
      </c>
      <c r="O29" s="163">
        <v>35.54</v>
      </c>
      <c r="P29" s="162">
        <v>55.408099999999997</v>
      </c>
      <c r="Q29" s="332">
        <f t="shared" si="4"/>
        <v>0.55903489026449071</v>
      </c>
      <c r="R29" s="163">
        <v>44.81</v>
      </c>
      <c r="S29" s="162"/>
      <c r="T29" s="332">
        <f t="shared" si="5"/>
        <v>-1</v>
      </c>
      <c r="U29" s="499">
        <f t="shared" si="6"/>
        <v>36.92</v>
      </c>
      <c r="V29" s="162">
        <f t="shared" si="7"/>
        <v>57.475620000000006</v>
      </c>
      <c r="W29" s="332">
        <f t="shared" si="8"/>
        <v>0.55676110509209109</v>
      </c>
    </row>
    <row r="30" spans="1:23" ht="15" thickBot="1">
      <c r="A30" s="679"/>
      <c r="B30" s="243" t="s">
        <v>68</v>
      </c>
      <c r="C30" s="165">
        <v>4.99E-2</v>
      </c>
      <c r="D30" s="164">
        <v>0.10743999999999999</v>
      </c>
      <c r="E30" s="333">
        <f t="shared" si="0"/>
        <v>1.1531062124248497</v>
      </c>
      <c r="F30" s="165">
        <v>5.0900000000000001E-2</v>
      </c>
      <c r="G30" s="165">
        <v>7.5300000000000006E-2</v>
      </c>
      <c r="H30" s="333">
        <f t="shared" si="1"/>
        <v>0.47937131630648339</v>
      </c>
      <c r="I30" s="165">
        <v>5.16E-2</v>
      </c>
      <c r="J30" s="164">
        <v>7.8899999999999998E-2</v>
      </c>
      <c r="K30" s="333">
        <f t="shared" si="2"/>
        <v>0.52906976744186041</v>
      </c>
      <c r="L30" s="165">
        <v>5.5E-2</v>
      </c>
      <c r="M30" s="164">
        <v>7.5399999999999995E-2</v>
      </c>
      <c r="N30" s="333">
        <f t="shared" si="3"/>
        <v>0.3709090909090908</v>
      </c>
      <c r="O30" s="165">
        <v>5.1299999999999998E-2</v>
      </c>
      <c r="P30" s="164">
        <v>7.3200000000000001E-2</v>
      </c>
      <c r="Q30" s="333">
        <f t="shared" si="4"/>
        <v>0.42690058479532172</v>
      </c>
      <c r="R30" s="165">
        <v>6.3600000000000004E-2</v>
      </c>
      <c r="S30" s="164"/>
      <c r="T30" s="333">
        <f t="shared" si="5"/>
        <v>-1</v>
      </c>
      <c r="U30" s="500">
        <f t="shared" si="6"/>
        <v>4.99E-2</v>
      </c>
      <c r="V30" s="164">
        <f t="shared" si="7"/>
        <v>8.2047999999999996E-2</v>
      </c>
      <c r="W30" s="333">
        <f t="shared" si="8"/>
        <v>0.6442484969939879</v>
      </c>
    </row>
    <row r="31" spans="1:23" ht="14.25">
      <c r="A31" s="669" t="s">
        <v>198</v>
      </c>
      <c r="B31" s="241" t="s">
        <v>66</v>
      </c>
      <c r="C31" s="167">
        <v>989.63</v>
      </c>
      <c r="D31" s="166">
        <v>810.77</v>
      </c>
      <c r="E31" s="331">
        <f t="shared" si="0"/>
        <v>-0.18073421379707569</v>
      </c>
      <c r="F31" s="167">
        <v>1010.31</v>
      </c>
      <c r="G31" s="167">
        <v>830.95</v>
      </c>
      <c r="H31" s="331">
        <f t="shared" si="1"/>
        <v>-0.17752966911146076</v>
      </c>
      <c r="I31" s="167">
        <v>1005.57</v>
      </c>
      <c r="J31" s="166">
        <v>812.18</v>
      </c>
      <c r="K31" s="331">
        <f t="shared" si="2"/>
        <v>-0.19231878437105332</v>
      </c>
      <c r="L31" s="167">
        <v>978.23</v>
      </c>
      <c r="M31" s="166">
        <v>836.47</v>
      </c>
      <c r="N31" s="331">
        <f t="shared" si="3"/>
        <v>-0.14491479508908947</v>
      </c>
      <c r="O31" s="167">
        <v>993.99</v>
      </c>
      <c r="P31" s="166">
        <v>850.04</v>
      </c>
      <c r="Q31" s="331">
        <f t="shared" si="4"/>
        <v>-0.14482037042626189</v>
      </c>
      <c r="R31" s="167">
        <v>972.05</v>
      </c>
      <c r="S31" s="166"/>
      <c r="T31" s="331">
        <f t="shared" si="5"/>
        <v>-1</v>
      </c>
      <c r="U31" s="502">
        <f t="shared" si="6"/>
        <v>989.63</v>
      </c>
      <c r="V31" s="166">
        <f t="shared" si="7"/>
        <v>828.08199999999999</v>
      </c>
      <c r="W31" s="331">
        <f t="shared" si="8"/>
        <v>-0.16324080717035661</v>
      </c>
    </row>
    <row r="32" spans="1:23" ht="14.25">
      <c r="A32" s="647"/>
      <c r="B32" s="238" t="s">
        <v>67</v>
      </c>
      <c r="C32" s="163">
        <v>77.47</v>
      </c>
      <c r="D32" s="162">
        <v>70.540000000000006</v>
      </c>
      <c r="E32" s="332">
        <f t="shared" si="0"/>
        <v>-8.9453982186652806E-2</v>
      </c>
      <c r="F32" s="163">
        <v>75.069999999999993</v>
      </c>
      <c r="G32" s="163">
        <v>72.479100000000003</v>
      </c>
      <c r="H32" s="332">
        <f t="shared" si="1"/>
        <v>-3.4513121086985357E-2</v>
      </c>
      <c r="I32" s="163">
        <v>74.42</v>
      </c>
      <c r="J32" s="162">
        <v>70.491100000000003</v>
      </c>
      <c r="K32" s="332">
        <f t="shared" si="2"/>
        <v>-5.2793603869927423E-2</v>
      </c>
      <c r="L32" s="163">
        <v>71.14</v>
      </c>
      <c r="M32" s="162">
        <v>71.597999999999999</v>
      </c>
      <c r="N32" s="332">
        <f t="shared" si="3"/>
        <v>6.4380095586167897E-3</v>
      </c>
      <c r="O32" s="163">
        <v>78.760000000000005</v>
      </c>
      <c r="P32" s="162">
        <v>73.803200000000004</v>
      </c>
      <c r="Q32" s="332">
        <f t="shared" si="4"/>
        <v>-6.2935500253936016E-2</v>
      </c>
      <c r="R32" s="163">
        <v>70.3</v>
      </c>
      <c r="S32" s="162"/>
      <c r="T32" s="332">
        <f t="shared" si="5"/>
        <v>-1</v>
      </c>
      <c r="U32" s="499">
        <f t="shared" si="6"/>
        <v>77.47</v>
      </c>
      <c r="V32" s="162">
        <f t="shared" si="7"/>
        <v>71.78228</v>
      </c>
      <c r="W32" s="332">
        <f t="shared" si="8"/>
        <v>-7.341835549244867E-2</v>
      </c>
    </row>
    <row r="33" spans="1:23" ht="15" thickBot="1">
      <c r="A33" s="670"/>
      <c r="B33" s="239" t="s">
        <v>68</v>
      </c>
      <c r="C33" s="165">
        <v>7.8299999999999995E-2</v>
      </c>
      <c r="D33" s="164">
        <v>8.6999999999999994E-2</v>
      </c>
      <c r="E33" s="333">
        <f t="shared" si="0"/>
        <v>0.1111111111111111</v>
      </c>
      <c r="F33" s="165">
        <v>7.4300000000000005E-2</v>
      </c>
      <c r="G33" s="165">
        <v>8.72E-2</v>
      </c>
      <c r="H33" s="333">
        <f t="shared" si="1"/>
        <v>0.17362045760430678</v>
      </c>
      <c r="I33" s="165">
        <v>7.3999999999999996E-2</v>
      </c>
      <c r="J33" s="164">
        <v>8.6800000000000002E-2</v>
      </c>
      <c r="K33" s="333">
        <f t="shared" si="2"/>
        <v>0.17297297297297307</v>
      </c>
      <c r="L33" s="510">
        <v>7.2700000000000001E-2</v>
      </c>
      <c r="M33" s="164">
        <v>8.5599999999999996E-2</v>
      </c>
      <c r="N33" s="333">
        <f t="shared" si="3"/>
        <v>0.17744154057771658</v>
      </c>
      <c r="O33" s="165">
        <v>7.9200000000000007E-2</v>
      </c>
      <c r="P33" s="164">
        <v>8.6800000000000002E-2</v>
      </c>
      <c r="Q33" s="333">
        <f t="shared" si="4"/>
        <v>9.5959595959595897E-2</v>
      </c>
      <c r="R33" s="165">
        <v>7.2300000000000003E-2</v>
      </c>
      <c r="S33" s="164"/>
      <c r="T33" s="333">
        <f t="shared" si="5"/>
        <v>-1</v>
      </c>
      <c r="U33" s="500">
        <f t="shared" si="6"/>
        <v>7.8299999999999995E-2</v>
      </c>
      <c r="V33" s="237">
        <f t="shared" si="7"/>
        <v>8.6680000000000007E-2</v>
      </c>
      <c r="W33" s="333">
        <f t="shared" si="8"/>
        <v>0.10702426564495547</v>
      </c>
    </row>
    <row r="34" spans="1:23" ht="15">
      <c r="A34" s="674" t="s">
        <v>69</v>
      </c>
      <c r="B34" s="362" t="s">
        <v>66</v>
      </c>
      <c r="C34" s="170">
        <f>AVERAGE(C16,C19,C22,C25,C28,C31)</f>
        <v>615.59499999999991</v>
      </c>
      <c r="D34" s="169">
        <f>AVERAGE(D16,D19,D25,D31)</f>
        <v>521.57749999999999</v>
      </c>
      <c r="E34" s="327">
        <f t="shared" si="0"/>
        <v>-0.15272622422209398</v>
      </c>
      <c r="F34" s="170">
        <f t="shared" ref="F34:G36" si="9">AVERAGE(F16,F19,F22,F25,F28,F31)</f>
        <v>599.21833333333336</v>
      </c>
      <c r="G34" s="170">
        <f t="shared" si="9"/>
        <v>570.34666666666669</v>
      </c>
      <c r="H34" s="327">
        <f t="shared" si="1"/>
        <v>-4.8182215163643752E-2</v>
      </c>
      <c r="I34" s="170">
        <f t="shared" ref="I34:J36" si="10">AVERAGE(I16,I19,I22,I25,I28,I31)</f>
        <v>595.53666666666675</v>
      </c>
      <c r="J34" s="170">
        <f t="shared" si="10"/>
        <v>570.79999999999995</v>
      </c>
      <c r="K34" s="170">
        <f t="shared" ref="K34:L36" si="11">AVERAGE(K16,K19,K22,K25,K28,K31)</f>
        <v>-1.802479216531366E-2</v>
      </c>
      <c r="L34" s="503">
        <f t="shared" si="11"/>
        <v>580.03666666666663</v>
      </c>
      <c r="M34" s="169">
        <f>AVERAGE(M16,M19,M22,M25,M28,M31)</f>
        <v>575.12</v>
      </c>
      <c r="N34" s="327">
        <f t="shared" si="3"/>
        <v>-8.4764756251040959E-3</v>
      </c>
      <c r="O34" s="170">
        <f t="shared" ref="O34:P36" si="12">AVERAGE(O16,O19,O22,O25,O28,O31)</f>
        <v>579.35166666666657</v>
      </c>
      <c r="P34" s="170">
        <f t="shared" si="12"/>
        <v>577.68333333333328</v>
      </c>
      <c r="Q34" s="327">
        <f t="shared" si="4"/>
        <v>-2.8796557070978092E-3</v>
      </c>
      <c r="R34" s="170">
        <f>AVERAGE(R16,R19,R22,R25,R28,R31)</f>
        <v>569.54833333333329</v>
      </c>
      <c r="S34" s="170"/>
      <c r="T34" s="327">
        <f t="shared" si="5"/>
        <v>-1</v>
      </c>
      <c r="U34" s="507">
        <f t="shared" si="6"/>
        <v>615.59499999999991</v>
      </c>
      <c r="V34" s="503">
        <f t="shared" si="7"/>
        <v>563.10550000000001</v>
      </c>
      <c r="W34" s="327">
        <f t="shared" si="8"/>
        <v>-8.5266287088101619E-2</v>
      </c>
    </row>
    <row r="35" spans="1:23" ht="15">
      <c r="A35" s="675"/>
      <c r="B35" s="363" t="s">
        <v>67</v>
      </c>
      <c r="C35" s="172">
        <f>AVERAGE(C17,C20,C23,C26,C29,C32)</f>
        <v>40.228333333333332</v>
      </c>
      <c r="D35" s="171">
        <f>AVERAGE(D17,D20,D26,D32)</f>
        <v>49.350000000000009</v>
      </c>
      <c r="E35" s="328">
        <f t="shared" si="0"/>
        <v>0.22674731739652842</v>
      </c>
      <c r="F35" s="172">
        <f t="shared" si="9"/>
        <v>39.891666666666666</v>
      </c>
      <c r="G35" s="172">
        <f t="shared" si="9"/>
        <v>49.214650000000006</v>
      </c>
      <c r="H35" s="328">
        <f t="shared" si="1"/>
        <v>0.23370754125757276</v>
      </c>
      <c r="I35" s="172">
        <f t="shared" si="10"/>
        <v>39.6</v>
      </c>
      <c r="J35" s="172">
        <f t="shared" si="10"/>
        <v>49.899383333333333</v>
      </c>
      <c r="K35" s="172">
        <f t="shared" si="11"/>
        <v>0.3199702280526569</v>
      </c>
      <c r="L35" s="504">
        <f t="shared" si="11"/>
        <v>39.109999999999992</v>
      </c>
      <c r="M35" s="171">
        <f>AVERAGE(M17,M20,M23,M26,M29,M32)</f>
        <v>50.091700000000003</v>
      </c>
      <c r="N35" s="328">
        <f t="shared" si="3"/>
        <v>0.28079007926361577</v>
      </c>
      <c r="O35" s="172">
        <f t="shared" si="12"/>
        <v>39.68</v>
      </c>
      <c r="P35" s="172">
        <f t="shared" si="12"/>
        <v>49.953566666666667</v>
      </c>
      <c r="Q35" s="328">
        <f t="shared" si="4"/>
        <v>0.2589104502688172</v>
      </c>
      <c r="R35" s="172">
        <f>AVERAGE(R17,R20,R23,R26,R29,R32)</f>
        <v>39.920000000000009</v>
      </c>
      <c r="S35" s="172"/>
      <c r="T35" s="328">
        <f t="shared" si="5"/>
        <v>-1</v>
      </c>
      <c r="U35" s="508">
        <f t="shared" si="6"/>
        <v>40.228333333333332</v>
      </c>
      <c r="V35" s="504">
        <f t="shared" si="7"/>
        <v>49.701860000000003</v>
      </c>
      <c r="W35" s="328">
        <f t="shared" si="8"/>
        <v>0.23549388905000634</v>
      </c>
    </row>
    <row r="36" spans="1:23" ht="15.75" thickBot="1">
      <c r="A36" s="676"/>
      <c r="B36" s="364" t="s">
        <v>68</v>
      </c>
      <c r="C36" s="174">
        <f>AVERAGE(C18,C21,C24,C27,C30,C33)</f>
        <v>6.6066666666666662E-2</v>
      </c>
      <c r="D36" s="173">
        <f>AVERAGE(D18,D21,D27,D33)</f>
        <v>9.6824999999999994E-2</v>
      </c>
      <c r="E36" s="329">
        <f t="shared" si="0"/>
        <v>0.46556508577194755</v>
      </c>
      <c r="F36" s="174">
        <f t="shared" si="9"/>
        <v>6.7233333333333326E-2</v>
      </c>
      <c r="G36" s="174">
        <f t="shared" si="9"/>
        <v>8.8716666666666666E-2</v>
      </c>
      <c r="H36" s="329">
        <f t="shared" si="1"/>
        <v>0.31953396132870615</v>
      </c>
      <c r="I36" s="174">
        <f t="shared" si="10"/>
        <v>6.7083333333333342E-2</v>
      </c>
      <c r="J36" s="174">
        <f t="shared" si="10"/>
        <v>8.9883333333333315E-2</v>
      </c>
      <c r="K36" s="174">
        <f t="shared" si="11"/>
        <v>0.34444462237618062</v>
      </c>
      <c r="L36" s="505">
        <f t="shared" si="11"/>
        <v>6.8650000000000003E-2</v>
      </c>
      <c r="M36" s="173">
        <f>AVERAGE(M18,M21,M24,M27,M30,M33)</f>
        <v>8.9716666666666667E-2</v>
      </c>
      <c r="N36" s="329">
        <f t="shared" si="3"/>
        <v>0.30687059966011165</v>
      </c>
      <c r="O36" s="174">
        <f t="shared" si="12"/>
        <v>6.826666666666667E-2</v>
      </c>
      <c r="P36" s="174">
        <f t="shared" si="12"/>
        <v>8.8166666666666671E-2</v>
      </c>
      <c r="Q36" s="329">
        <f t="shared" si="4"/>
        <v>0.29150390625</v>
      </c>
      <c r="R36" s="174">
        <f>AVERAGE(R18,R21,R24,R27,R30,R33)</f>
        <v>7.1199999999999999E-2</v>
      </c>
      <c r="S36" s="174"/>
      <c r="T36" s="329">
        <f t="shared" si="5"/>
        <v>-1</v>
      </c>
      <c r="U36" s="509">
        <f t="shared" si="6"/>
        <v>6.6066666666666662E-2</v>
      </c>
      <c r="V36" s="505">
        <f t="shared" si="7"/>
        <v>9.0661666666666668E-2</v>
      </c>
      <c r="W36" s="329">
        <f t="shared" si="8"/>
        <v>0.37227547931382454</v>
      </c>
    </row>
    <row r="37" spans="1:23" ht="14.25">
      <c r="A37" s="322" t="s">
        <v>70</v>
      </c>
      <c r="B37" s="321"/>
    </row>
    <row r="38" spans="1:23" ht="14.25">
      <c r="A38" s="322" t="s">
        <v>71</v>
      </c>
      <c r="B38" s="323"/>
      <c r="C38" s="4"/>
      <c r="D38" s="1"/>
      <c r="E38" s="1"/>
      <c r="F38" s="1"/>
      <c r="G38" s="4"/>
      <c r="H38" s="4"/>
      <c r="I38" s="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</sheetData>
  <mergeCells count="21">
    <mergeCell ref="A34:A36"/>
    <mergeCell ref="A16:A18"/>
    <mergeCell ref="A19:A21"/>
    <mergeCell ref="A22:A24"/>
    <mergeCell ref="A25:A27"/>
    <mergeCell ref="A31:A33"/>
    <mergeCell ref="A28:A30"/>
    <mergeCell ref="R14:T14"/>
    <mergeCell ref="U14:W14"/>
    <mergeCell ref="C14:E14"/>
    <mergeCell ref="F14:H14"/>
    <mergeCell ref="A14:A15"/>
    <mergeCell ref="I14:K14"/>
    <mergeCell ref="L14:N14"/>
    <mergeCell ref="O14:Q14"/>
    <mergeCell ref="B14:B15"/>
    <mergeCell ref="A1:I1"/>
    <mergeCell ref="A2:I2"/>
    <mergeCell ref="H4:J4"/>
    <mergeCell ref="H5:J5"/>
    <mergeCell ref="A11:W11"/>
  </mergeCells>
  <phoneticPr fontId="36" type="noConversion"/>
  <printOptions horizontalCentered="1"/>
  <pageMargins left="0.19685039370078741" right="0.39370078740157483" top="0.68" bottom="0.39370078740157483" header="0" footer="0"/>
  <pageSetup paperSize="9" scale="44" fitToHeight="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4">
    <tabColor indexed="42"/>
    <pageSetUpPr fitToPage="1"/>
  </sheetPr>
  <dimension ref="B1:O90"/>
  <sheetViews>
    <sheetView topLeftCell="A13" zoomScale="55" workbookViewId="0">
      <selection activeCell="G31" sqref="G31"/>
    </sheetView>
  </sheetViews>
  <sheetFormatPr baseColWidth="10" defaultRowHeight="12.75"/>
  <cols>
    <col min="1" max="1" width="1.7109375" customWidth="1"/>
    <col min="2" max="2" width="25.140625" customWidth="1"/>
    <col min="3" max="3" width="23.5703125" customWidth="1"/>
    <col min="4" max="4" width="20.28515625" customWidth="1"/>
    <col min="5" max="6" width="23.7109375" customWidth="1"/>
    <col min="7" max="7" width="21.42578125" customWidth="1"/>
    <col min="8" max="8" width="18.28515625" customWidth="1"/>
    <col min="9" max="9" width="21.5703125" customWidth="1"/>
    <col min="10" max="10" width="20.42578125" customWidth="1"/>
    <col min="11" max="11" width="20.7109375" customWidth="1"/>
  </cols>
  <sheetData>
    <row r="1" spans="2:15" ht="25.15" customHeight="1"/>
    <row r="2" spans="2:15" ht="31.5" customHeight="1">
      <c r="B2" s="636" t="s">
        <v>16</v>
      </c>
      <c r="C2" s="636"/>
      <c r="D2" s="636"/>
      <c r="E2" s="636"/>
      <c r="F2" s="636"/>
      <c r="G2" s="636"/>
      <c r="H2" s="636"/>
      <c r="I2" s="636"/>
      <c r="J2" s="636"/>
      <c r="K2" s="636"/>
    </row>
    <row r="3" spans="2:15" ht="33.6" customHeight="1">
      <c r="B3" s="629" t="s">
        <v>182</v>
      </c>
      <c r="C3" s="629"/>
      <c r="D3" s="629"/>
      <c r="E3" s="629"/>
      <c r="F3" s="629"/>
      <c r="G3" s="629"/>
      <c r="H3" s="629"/>
      <c r="I3" s="629"/>
      <c r="J3" s="629"/>
      <c r="K3" s="629"/>
      <c r="L3" s="13"/>
      <c r="M3" s="13"/>
      <c r="N3" s="13"/>
      <c r="O3" s="13"/>
    </row>
    <row r="4" spans="2:15" ht="21" thickBot="1">
      <c r="B4" s="142"/>
      <c r="C4" s="142"/>
      <c r="D4" s="142"/>
      <c r="E4" s="142"/>
      <c r="F4" s="142"/>
      <c r="G4" s="142"/>
      <c r="H4" s="142"/>
      <c r="I4" s="1"/>
      <c r="J4" s="132"/>
      <c r="K4" s="197"/>
      <c r="L4" s="1"/>
      <c r="M4" s="1"/>
      <c r="N4" s="1"/>
      <c r="O4" s="1"/>
    </row>
    <row r="5" spans="2:15" ht="21.75" thickTop="1" thickBot="1">
      <c r="B5" s="142"/>
      <c r="C5" s="142"/>
      <c r="D5" s="142"/>
      <c r="E5" s="142"/>
      <c r="I5" s="1"/>
      <c r="J5" s="662" t="s">
        <v>190</v>
      </c>
      <c r="K5" s="683"/>
      <c r="L5" s="1"/>
      <c r="M5" s="1"/>
      <c r="N5" s="1"/>
      <c r="O5" s="1"/>
    </row>
    <row r="6" spans="2:15" ht="21.75" customHeight="1" thickTop="1" thickBot="1">
      <c r="B6" s="142"/>
      <c r="C6" s="142"/>
      <c r="D6" s="142"/>
      <c r="E6" s="142"/>
      <c r="F6" s="136"/>
      <c r="J6" s="681" t="e">
        <f>#REF!</f>
        <v>#REF!</v>
      </c>
      <c r="K6" s="682"/>
      <c r="L6" s="1"/>
      <c r="M6" s="1"/>
      <c r="N6" s="1"/>
      <c r="O6" s="1"/>
    </row>
    <row r="7" spans="2:15" ht="18.75" customHeight="1" thickTop="1">
      <c r="B7" s="137"/>
      <c r="C7" s="137"/>
      <c r="D7" s="137"/>
      <c r="E7" s="137"/>
      <c r="L7" s="1"/>
      <c r="M7" s="1"/>
      <c r="N7" s="1"/>
      <c r="O7" s="1"/>
    </row>
    <row r="8" spans="2:15" ht="18.75" customHeight="1">
      <c r="B8" s="137"/>
      <c r="C8" s="137"/>
      <c r="D8" s="137"/>
      <c r="E8" s="137"/>
      <c r="F8" s="139"/>
      <c r="G8" s="139"/>
      <c r="H8" s="140"/>
      <c r="J8" s="1"/>
      <c r="K8" s="1"/>
      <c r="L8" s="1"/>
      <c r="M8" s="1"/>
      <c r="N8" s="1"/>
      <c r="O8" s="1"/>
    </row>
    <row r="9" spans="2:15" ht="18.75" customHeight="1">
      <c r="B9" s="33"/>
      <c r="C9" s="1"/>
      <c r="D9" s="1"/>
      <c r="E9" s="195"/>
      <c r="F9" s="195"/>
      <c r="G9" s="196"/>
      <c r="J9" s="1"/>
      <c r="K9" s="1"/>
      <c r="L9" s="1"/>
      <c r="M9" s="1"/>
      <c r="N9" s="1"/>
      <c r="O9" s="1"/>
    </row>
    <row r="10" spans="2:15" ht="17.45" customHeight="1" thickBo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ht="15.75" thickTop="1">
      <c r="B11" s="153" t="s">
        <v>17</v>
      </c>
      <c r="C11" s="154"/>
      <c r="D11" s="154"/>
      <c r="E11" s="154"/>
      <c r="F11" s="154"/>
      <c r="G11" s="154"/>
      <c r="H11" s="154"/>
      <c r="I11" s="39"/>
      <c r="J11" s="39"/>
      <c r="K11" s="145"/>
      <c r="L11" s="1"/>
      <c r="M11" s="1"/>
      <c r="N11" s="1"/>
      <c r="O11" s="1"/>
    </row>
    <row r="12" spans="2:15" ht="15">
      <c r="B12" s="155" t="s">
        <v>180</v>
      </c>
      <c r="C12" s="152"/>
      <c r="D12" s="152"/>
      <c r="E12" s="152"/>
      <c r="F12" s="152"/>
      <c r="G12" s="152"/>
      <c r="H12" s="152"/>
      <c r="I12" s="1"/>
      <c r="J12" s="1"/>
      <c r="K12" s="133"/>
      <c r="L12" s="1"/>
      <c r="M12" s="1"/>
      <c r="N12" s="1"/>
      <c r="O12" s="1"/>
    </row>
    <row r="13" spans="2:15" ht="15.75" thickBot="1">
      <c r="B13" s="156" t="s">
        <v>181</v>
      </c>
      <c r="C13" s="157"/>
      <c r="D13" s="157"/>
      <c r="E13" s="157"/>
      <c r="F13" s="157"/>
      <c r="G13" s="157"/>
      <c r="H13" s="157"/>
      <c r="I13" s="132"/>
      <c r="J13" s="132"/>
      <c r="K13" s="146"/>
      <c r="L13" s="1"/>
      <c r="M13" s="1"/>
      <c r="N13" s="1"/>
      <c r="O13" s="1"/>
    </row>
    <row r="14" spans="2:15" ht="45" customHeight="1" thickTop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ht="23.45" customHeight="1">
      <c r="B15" s="680" t="s">
        <v>191</v>
      </c>
      <c r="C15" s="680"/>
      <c r="D15" s="680"/>
      <c r="E15" s="680"/>
      <c r="F15" s="680"/>
      <c r="G15" s="680"/>
      <c r="H15" s="680"/>
      <c r="I15" s="680"/>
      <c r="J15" s="680"/>
      <c r="K15" s="1"/>
      <c r="L15" s="1"/>
      <c r="M15" s="1"/>
      <c r="N15" s="1"/>
      <c r="O15" s="1"/>
    </row>
    <row r="16" spans="2:15" ht="31.15" customHeight="1" thickBot="1">
      <c r="B16" s="4"/>
      <c r="C16" s="5"/>
      <c r="D16" s="5"/>
      <c r="E16" s="1"/>
      <c r="F16" s="1"/>
      <c r="G16" s="1"/>
      <c r="H16" s="1"/>
      <c r="I16" s="3"/>
      <c r="J16" s="1"/>
      <c r="K16" s="1"/>
      <c r="L16" s="1"/>
      <c r="M16" s="1"/>
      <c r="N16" s="1"/>
      <c r="O16" s="1"/>
    </row>
    <row r="17" spans="2:15" ht="25.15" customHeight="1">
      <c r="B17" s="76" t="s">
        <v>73</v>
      </c>
      <c r="C17" s="175" t="s">
        <v>74</v>
      </c>
      <c r="D17" s="176"/>
      <c r="E17" s="74"/>
      <c r="F17" s="74"/>
      <c r="G17" s="74"/>
      <c r="H17" s="74"/>
      <c r="I17" s="74"/>
      <c r="J17" s="177"/>
      <c r="K17" s="1"/>
      <c r="L17" s="1"/>
      <c r="M17" s="1"/>
      <c r="N17" s="1"/>
      <c r="O17" s="1"/>
    </row>
    <row r="18" spans="2:15" ht="25.15" customHeight="1" thickBot="1">
      <c r="B18" s="77"/>
      <c r="C18" s="178" t="s">
        <v>159</v>
      </c>
      <c r="D18" s="179"/>
      <c r="E18" s="180" t="s">
        <v>173</v>
      </c>
      <c r="F18" s="181"/>
      <c r="G18" s="180" t="s">
        <v>174</v>
      </c>
      <c r="H18" s="181"/>
      <c r="I18" s="183" t="s">
        <v>175</v>
      </c>
      <c r="J18" s="184"/>
      <c r="K18" s="1"/>
      <c r="L18" s="1"/>
      <c r="M18" s="1"/>
      <c r="N18" s="1"/>
      <c r="O18" s="1"/>
    </row>
    <row r="19" spans="2:15" ht="25.15" customHeight="1" thickTop="1" thickBot="1">
      <c r="B19" s="206"/>
      <c r="C19" s="224">
        <v>38598</v>
      </c>
      <c r="D19" s="224">
        <v>38232</v>
      </c>
      <c r="E19" s="224">
        <f>C19</f>
        <v>38598</v>
      </c>
      <c r="F19" s="224">
        <f>D19</f>
        <v>38232</v>
      </c>
      <c r="G19" s="224">
        <f>C19</f>
        <v>38598</v>
      </c>
      <c r="H19" s="224">
        <f>D19</f>
        <v>38232</v>
      </c>
      <c r="I19" s="224">
        <f>C19</f>
        <v>38598</v>
      </c>
      <c r="J19" s="224">
        <f>D19</f>
        <v>38232</v>
      </c>
      <c r="K19" s="1"/>
      <c r="L19" s="1"/>
      <c r="M19" s="1"/>
      <c r="N19" s="1"/>
      <c r="O19" s="1"/>
    </row>
    <row r="20" spans="2:15" ht="25.15" customHeight="1">
      <c r="B20" s="201" t="s">
        <v>77</v>
      </c>
      <c r="C20" s="227">
        <v>34</v>
      </c>
      <c r="D20" s="227">
        <v>72.400000000000006</v>
      </c>
      <c r="E20" s="227">
        <v>37.700000000000003</v>
      </c>
      <c r="F20" s="227">
        <v>71.599999999999994</v>
      </c>
      <c r="G20" s="227">
        <v>31.5</v>
      </c>
      <c r="H20" s="227">
        <v>64.5</v>
      </c>
      <c r="I20" s="227">
        <v>35.700000000000003</v>
      </c>
      <c r="J20" s="227">
        <v>69.2</v>
      </c>
      <c r="K20" s="1"/>
      <c r="L20" s="1"/>
      <c r="M20" s="1"/>
      <c r="N20" s="1"/>
      <c r="O20" s="1"/>
    </row>
    <row r="21" spans="2:15" ht="25.15" customHeight="1">
      <c r="B21" s="201" t="s">
        <v>78</v>
      </c>
      <c r="C21" s="228">
        <v>30</v>
      </c>
      <c r="D21" s="228">
        <v>62.5</v>
      </c>
      <c r="E21" s="199">
        <v>37.200000000000003</v>
      </c>
      <c r="F21" s="199">
        <v>61.3</v>
      </c>
      <c r="G21" s="199">
        <v>30</v>
      </c>
      <c r="H21" s="199">
        <v>61.2</v>
      </c>
      <c r="I21" s="199">
        <v>34</v>
      </c>
      <c r="J21" s="199">
        <v>59</v>
      </c>
      <c r="K21" s="1"/>
      <c r="L21" s="1"/>
      <c r="M21" s="1"/>
      <c r="N21" s="1"/>
      <c r="O21" s="1"/>
    </row>
    <row r="22" spans="2:15" ht="25.15" customHeight="1">
      <c r="B22" s="201" t="s">
        <v>79</v>
      </c>
      <c r="C22" s="199" t="s">
        <v>80</v>
      </c>
      <c r="D22" s="199" t="s">
        <v>80</v>
      </c>
      <c r="E22" s="199">
        <v>30.5</v>
      </c>
      <c r="F22" s="199">
        <v>63.9</v>
      </c>
      <c r="G22" s="199">
        <v>24.3</v>
      </c>
      <c r="H22" s="199">
        <v>56.8</v>
      </c>
      <c r="I22" s="199">
        <v>26</v>
      </c>
      <c r="J22" s="199">
        <v>54.8</v>
      </c>
      <c r="K22" s="1"/>
      <c r="L22" s="1"/>
      <c r="M22" s="1"/>
      <c r="N22" s="1"/>
      <c r="O22" s="1"/>
    </row>
    <row r="23" spans="2:15" ht="25.15" customHeight="1">
      <c r="B23" s="201" t="s">
        <v>81</v>
      </c>
      <c r="C23" s="199" t="s">
        <v>80</v>
      </c>
      <c r="D23" s="199" t="s">
        <v>80</v>
      </c>
      <c r="E23" s="199" t="s">
        <v>80</v>
      </c>
      <c r="F23" s="199" t="s">
        <v>80</v>
      </c>
      <c r="G23" s="199" t="s">
        <v>80</v>
      </c>
      <c r="H23" s="199" t="s">
        <v>80</v>
      </c>
      <c r="I23" s="199" t="s">
        <v>80</v>
      </c>
      <c r="J23" s="199" t="s">
        <v>80</v>
      </c>
      <c r="K23" s="1"/>
      <c r="L23" s="1"/>
      <c r="M23" s="1"/>
      <c r="N23" s="1"/>
      <c r="O23" s="1"/>
    </row>
    <row r="24" spans="2:15" ht="25.15" customHeight="1" thickBot="1">
      <c r="B24" s="202" t="s">
        <v>82</v>
      </c>
      <c r="C24" s="200">
        <v>24</v>
      </c>
      <c r="D24" s="200">
        <v>39.6</v>
      </c>
      <c r="E24" s="200">
        <v>24.1</v>
      </c>
      <c r="F24" s="200">
        <v>39.299999999999997</v>
      </c>
      <c r="G24" s="200">
        <v>22.5</v>
      </c>
      <c r="H24" s="200">
        <v>45</v>
      </c>
      <c r="I24" s="200">
        <v>21.4</v>
      </c>
      <c r="J24" s="200">
        <v>47.4</v>
      </c>
      <c r="K24" s="1"/>
      <c r="L24" s="1"/>
      <c r="M24" s="1"/>
      <c r="N24" s="1"/>
      <c r="O24" s="1"/>
    </row>
    <row r="25" spans="2:15">
      <c r="B25" s="1" t="s">
        <v>83</v>
      </c>
      <c r="C25" s="1"/>
      <c r="D25" s="1"/>
      <c r="E25" s="1"/>
      <c r="F25" s="1"/>
      <c r="G25" s="1"/>
      <c r="H25" s="1"/>
      <c r="I25" s="3"/>
      <c r="J25" s="1"/>
      <c r="K25" s="1"/>
      <c r="L25" s="1"/>
      <c r="M25" s="1"/>
      <c r="N25" s="1"/>
      <c r="O25" s="1"/>
    </row>
    <row r="26" spans="2:15" ht="45" customHeight="1" thickBot="1"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1"/>
      <c r="N26" s="1"/>
      <c r="O26" s="1"/>
    </row>
    <row r="27" spans="2:15" ht="25.15" customHeight="1">
      <c r="B27" s="76" t="s">
        <v>73</v>
      </c>
      <c r="C27" s="175" t="s">
        <v>84</v>
      </c>
      <c r="D27" s="176"/>
      <c r="E27" s="74"/>
      <c r="F27" s="74"/>
      <c r="G27" s="74"/>
      <c r="H27" s="74"/>
      <c r="I27" s="74"/>
      <c r="J27" s="177"/>
      <c r="K27" s="1"/>
      <c r="L27" s="1"/>
      <c r="M27" s="1"/>
      <c r="N27" s="1"/>
      <c r="O27" s="1"/>
    </row>
    <row r="28" spans="2:15" ht="25.15" customHeight="1" thickBot="1">
      <c r="B28" s="77"/>
      <c r="C28" s="178" t="s">
        <v>163</v>
      </c>
      <c r="D28" s="179"/>
      <c r="E28" s="180" t="s">
        <v>176</v>
      </c>
      <c r="F28" s="181"/>
      <c r="G28" s="180" t="s">
        <v>177</v>
      </c>
      <c r="H28" s="182"/>
      <c r="I28" s="183" t="s">
        <v>178</v>
      </c>
      <c r="J28" s="184"/>
      <c r="K28" s="1"/>
      <c r="L28" s="1"/>
      <c r="M28" s="1"/>
      <c r="N28" s="1"/>
      <c r="O28" s="1"/>
    </row>
    <row r="29" spans="2:15" ht="25.15" customHeight="1" thickTop="1">
      <c r="B29" s="206"/>
      <c r="C29" s="207">
        <f>C19</f>
        <v>38598</v>
      </c>
      <c r="D29" s="207">
        <f>D19</f>
        <v>38232</v>
      </c>
      <c r="E29" s="207">
        <f>C19</f>
        <v>38598</v>
      </c>
      <c r="F29" s="207">
        <f>D19</f>
        <v>38232</v>
      </c>
      <c r="G29" s="207">
        <f>C19</f>
        <v>38598</v>
      </c>
      <c r="H29" s="207">
        <f>D19</f>
        <v>38232</v>
      </c>
      <c r="I29" s="207">
        <f>C19</f>
        <v>38598</v>
      </c>
      <c r="J29" s="207">
        <f>D19</f>
        <v>38232</v>
      </c>
      <c r="K29" s="1"/>
      <c r="L29" s="1"/>
      <c r="M29" s="1"/>
      <c r="N29" s="1"/>
      <c r="O29" s="1"/>
    </row>
    <row r="30" spans="2:15" ht="25.15" customHeight="1">
      <c r="B30" s="201" t="s">
        <v>77</v>
      </c>
      <c r="C30" s="199">
        <v>45</v>
      </c>
      <c r="D30" s="199">
        <v>60.9</v>
      </c>
      <c r="E30" s="199">
        <v>57.5</v>
      </c>
      <c r="F30" s="199">
        <v>90.6</v>
      </c>
      <c r="G30" s="199">
        <v>52</v>
      </c>
      <c r="H30" s="199">
        <v>72.5</v>
      </c>
      <c r="I30" s="199">
        <v>50</v>
      </c>
      <c r="J30" s="199">
        <v>73.900000000000006</v>
      </c>
      <c r="K30" s="1"/>
      <c r="L30" s="1"/>
      <c r="M30" s="1"/>
      <c r="N30" s="1"/>
      <c r="O30" s="1"/>
    </row>
    <row r="31" spans="2:15" ht="25.15" customHeight="1">
      <c r="B31" s="201" t="s">
        <v>78</v>
      </c>
      <c r="C31" s="199">
        <v>39.799999999999997</v>
      </c>
      <c r="D31" s="199">
        <v>60</v>
      </c>
      <c r="E31" s="199">
        <v>58.4</v>
      </c>
      <c r="F31" s="199">
        <v>90.4</v>
      </c>
      <c r="G31" s="199">
        <v>52.5</v>
      </c>
      <c r="H31" s="199">
        <v>73.900000000000006</v>
      </c>
      <c r="I31" s="199">
        <v>52.5</v>
      </c>
      <c r="J31" s="199">
        <v>70.599999999999994</v>
      </c>
      <c r="K31" s="1"/>
      <c r="L31" s="1"/>
      <c r="M31" s="1"/>
      <c r="N31" s="1"/>
      <c r="O31" s="1"/>
    </row>
    <row r="32" spans="2:15" ht="25.15" customHeight="1">
      <c r="B32" s="201" t="s">
        <v>79</v>
      </c>
      <c r="C32" s="199">
        <v>37.5</v>
      </c>
      <c r="D32" s="199">
        <v>43.8</v>
      </c>
      <c r="E32" s="199">
        <v>51.3</v>
      </c>
      <c r="F32" s="199">
        <v>97.6</v>
      </c>
      <c r="G32" s="199">
        <v>45</v>
      </c>
      <c r="H32" s="199">
        <v>61</v>
      </c>
      <c r="I32" s="199">
        <v>46.5</v>
      </c>
      <c r="J32" s="199">
        <v>66</v>
      </c>
      <c r="K32" s="1"/>
      <c r="L32" s="1"/>
      <c r="M32" s="1"/>
      <c r="N32" s="1"/>
      <c r="O32" s="1"/>
    </row>
    <row r="33" spans="2:15" ht="25.15" customHeight="1">
      <c r="B33" s="201" t="s">
        <v>81</v>
      </c>
      <c r="C33" s="199" t="s">
        <v>80</v>
      </c>
      <c r="D33" s="199" t="s">
        <v>80</v>
      </c>
      <c r="E33" s="199">
        <v>36.5</v>
      </c>
      <c r="F33" s="199">
        <v>82.3</v>
      </c>
      <c r="G33" s="199">
        <v>30.5</v>
      </c>
      <c r="H33" s="199">
        <v>42</v>
      </c>
      <c r="I33" s="199">
        <v>30.5</v>
      </c>
      <c r="J33" s="199">
        <v>45.3</v>
      </c>
      <c r="K33" s="1"/>
      <c r="L33" s="1"/>
      <c r="M33" s="1"/>
      <c r="N33" s="1"/>
      <c r="O33" s="1"/>
    </row>
    <row r="34" spans="2:15" ht="25.15" customHeight="1" thickBot="1">
      <c r="B34" s="202" t="s">
        <v>82</v>
      </c>
      <c r="C34" s="200">
        <v>33</v>
      </c>
      <c r="D34" s="200">
        <v>61.3</v>
      </c>
      <c r="E34" s="200">
        <v>38.6</v>
      </c>
      <c r="F34" s="200">
        <v>81.599999999999994</v>
      </c>
      <c r="G34" s="200">
        <v>31.7</v>
      </c>
      <c r="H34" s="200">
        <v>42.5</v>
      </c>
      <c r="I34" s="200">
        <v>31</v>
      </c>
      <c r="J34" s="200">
        <v>45.6</v>
      </c>
      <c r="K34" s="1"/>
      <c r="L34" s="1"/>
      <c r="M34" s="1"/>
      <c r="N34" s="1"/>
      <c r="O34" s="1"/>
    </row>
    <row r="35" spans="2:15">
      <c r="B35" s="1" t="s">
        <v>83</v>
      </c>
      <c r="C35" s="4"/>
      <c r="D35" s="4"/>
      <c r="E35" s="1"/>
      <c r="F35" s="1"/>
      <c r="G35" s="1"/>
      <c r="H35" s="1"/>
      <c r="I35" s="3"/>
      <c r="J35" s="1"/>
      <c r="K35" s="1"/>
      <c r="L35" s="1"/>
      <c r="M35" s="1"/>
      <c r="N35" s="1"/>
      <c r="O35" s="1"/>
    </row>
    <row r="36" spans="2:15" ht="45" customHeight="1" thickBot="1">
      <c r="B36" s="1"/>
      <c r="C36" s="4"/>
      <c r="D36" s="4"/>
      <c r="E36" s="1"/>
      <c r="F36" s="1"/>
      <c r="G36" s="1"/>
      <c r="H36" s="1"/>
      <c r="I36" s="3"/>
      <c r="J36" s="1"/>
      <c r="K36" s="1"/>
      <c r="L36" s="1"/>
      <c r="M36" s="1"/>
      <c r="N36" s="1"/>
      <c r="O36" s="1"/>
    </row>
    <row r="37" spans="2:15" ht="25.15" customHeight="1" thickBot="1">
      <c r="B37" s="76" t="s">
        <v>73</v>
      </c>
      <c r="C37" s="209" t="s">
        <v>86</v>
      </c>
      <c r="D37" s="210"/>
      <c r="E37" s="211"/>
      <c r="F37" s="211"/>
      <c r="G37" s="211"/>
      <c r="H37" s="211"/>
      <c r="I37" s="211"/>
      <c r="J37" s="177"/>
      <c r="K37" s="1"/>
      <c r="L37" s="1"/>
      <c r="M37" s="1"/>
      <c r="N37" s="1"/>
      <c r="O37" s="1"/>
    </row>
    <row r="38" spans="2:15" ht="25.15" customHeight="1" thickBot="1">
      <c r="B38" s="208"/>
      <c r="C38" s="212" t="s">
        <v>167</v>
      </c>
      <c r="D38" s="212"/>
      <c r="E38" s="213" t="s">
        <v>168</v>
      </c>
      <c r="F38" s="213"/>
      <c r="G38" s="213" t="s">
        <v>169</v>
      </c>
      <c r="H38" s="213"/>
      <c r="I38" s="214" t="s">
        <v>170</v>
      </c>
      <c r="J38" s="215"/>
      <c r="K38" s="1"/>
      <c r="L38" s="1"/>
      <c r="M38" s="1"/>
      <c r="N38" s="1"/>
      <c r="O38" s="1"/>
    </row>
    <row r="39" spans="2:15" ht="25.15" customHeight="1" thickTop="1">
      <c r="B39" s="206"/>
      <c r="C39" s="207">
        <f>C19</f>
        <v>38598</v>
      </c>
      <c r="D39" s="207">
        <f>D19</f>
        <v>38232</v>
      </c>
      <c r="E39" s="207">
        <f>C19</f>
        <v>38598</v>
      </c>
      <c r="F39" s="207">
        <f>D19</f>
        <v>38232</v>
      </c>
      <c r="G39" s="207">
        <f>C19</f>
        <v>38598</v>
      </c>
      <c r="H39" s="207">
        <f>D19</f>
        <v>38232</v>
      </c>
      <c r="I39" s="207">
        <f>C19</f>
        <v>38598</v>
      </c>
      <c r="J39" s="207">
        <f>D19</f>
        <v>38232</v>
      </c>
      <c r="K39" s="1"/>
      <c r="L39" s="1"/>
      <c r="M39" s="1"/>
      <c r="N39" s="1"/>
      <c r="O39" s="1"/>
    </row>
    <row r="40" spans="2:15" ht="25.15" customHeight="1">
      <c r="B40" s="201" t="s">
        <v>77</v>
      </c>
      <c r="C40" s="148">
        <v>37.5</v>
      </c>
      <c r="D40" s="148">
        <v>56.1</v>
      </c>
      <c r="E40" s="148">
        <v>45.5</v>
      </c>
      <c r="F40" s="148">
        <v>63.6</v>
      </c>
      <c r="G40" s="148">
        <v>43.5</v>
      </c>
      <c r="H40" s="148">
        <v>60</v>
      </c>
      <c r="I40" s="148">
        <v>47.5</v>
      </c>
      <c r="J40" s="148">
        <v>68.2</v>
      </c>
      <c r="K40" s="1"/>
      <c r="L40" s="1"/>
      <c r="M40" s="1"/>
      <c r="N40" s="1"/>
      <c r="O40" s="1"/>
    </row>
    <row r="41" spans="2:15" ht="25.15" customHeight="1">
      <c r="B41" s="201" t="s">
        <v>78</v>
      </c>
      <c r="C41" s="148">
        <v>34.700000000000003</v>
      </c>
      <c r="D41" s="148">
        <v>49.3</v>
      </c>
      <c r="E41" s="148" t="s">
        <v>80</v>
      </c>
      <c r="F41" s="148" t="s">
        <v>80</v>
      </c>
      <c r="G41" s="148" t="s">
        <v>80</v>
      </c>
      <c r="H41" s="148" t="s">
        <v>80</v>
      </c>
      <c r="I41" s="148">
        <v>49.5</v>
      </c>
      <c r="J41" s="148">
        <v>67.5</v>
      </c>
      <c r="K41" s="1"/>
      <c r="L41" s="1"/>
      <c r="M41" s="1"/>
      <c r="N41" s="1"/>
      <c r="O41" s="1"/>
    </row>
    <row r="42" spans="2:15" ht="25.15" customHeight="1">
      <c r="B42" s="201" t="s">
        <v>79</v>
      </c>
      <c r="C42" s="148">
        <v>33.700000000000003</v>
      </c>
      <c r="D42" s="148">
        <v>50</v>
      </c>
      <c r="E42" s="148">
        <v>40</v>
      </c>
      <c r="F42" s="148">
        <v>58.7</v>
      </c>
      <c r="G42" s="148">
        <v>38.5</v>
      </c>
      <c r="H42" s="148">
        <v>53.2</v>
      </c>
      <c r="I42" s="148">
        <v>43.8</v>
      </c>
      <c r="J42" s="148">
        <v>47.7</v>
      </c>
      <c r="K42" s="1"/>
      <c r="L42" s="1"/>
      <c r="M42" s="1"/>
      <c r="N42" s="1"/>
      <c r="O42" s="1"/>
    </row>
    <row r="43" spans="2:15" ht="25.15" customHeight="1">
      <c r="B43" s="201" t="s">
        <v>81</v>
      </c>
      <c r="C43" s="148">
        <v>36</v>
      </c>
      <c r="D43" s="148">
        <v>38.200000000000003</v>
      </c>
      <c r="E43" s="148" t="s">
        <v>80</v>
      </c>
      <c r="F43" s="148" t="s">
        <v>80</v>
      </c>
      <c r="G43" s="148" t="s">
        <v>80</v>
      </c>
      <c r="H43" s="148" t="s">
        <v>80</v>
      </c>
      <c r="I43" s="148" t="s">
        <v>80</v>
      </c>
      <c r="J43" s="148" t="s">
        <v>80</v>
      </c>
      <c r="K43" s="1"/>
      <c r="L43" s="1"/>
      <c r="M43" s="1"/>
      <c r="N43" s="1"/>
      <c r="O43" s="1"/>
    </row>
    <row r="44" spans="2:15" ht="25.15" customHeight="1" thickBot="1">
      <c r="B44" s="202" t="s">
        <v>82</v>
      </c>
      <c r="C44" s="149">
        <v>27.5</v>
      </c>
      <c r="D44" s="149">
        <v>49.5</v>
      </c>
      <c r="E44" s="149">
        <v>26.5</v>
      </c>
      <c r="F44" s="149">
        <v>34</v>
      </c>
      <c r="G44" s="149">
        <v>21.5</v>
      </c>
      <c r="H44" s="149">
        <v>30</v>
      </c>
      <c r="I44" s="149">
        <v>24.5</v>
      </c>
      <c r="J44" s="149">
        <v>36.299999999999997</v>
      </c>
      <c r="K44" s="1"/>
      <c r="L44" s="1"/>
      <c r="M44" s="1"/>
      <c r="N44" s="1"/>
      <c r="O44" s="1"/>
    </row>
    <row r="45" spans="2:15">
      <c r="B45" s="1" t="s">
        <v>83</v>
      </c>
      <c r="C45" s="4"/>
      <c r="D45" s="4"/>
      <c r="E45" s="24"/>
      <c r="F45" s="24"/>
      <c r="G45" s="1"/>
      <c r="H45" s="1"/>
      <c r="I45" s="3"/>
      <c r="J45" s="3"/>
      <c r="K45" s="1"/>
      <c r="L45" s="1"/>
      <c r="M45" s="1"/>
      <c r="N45" s="1"/>
      <c r="O45" s="1"/>
    </row>
    <row r="46" spans="2:15" ht="21" customHeight="1">
      <c r="B46" s="1"/>
      <c r="C46" s="4"/>
      <c r="D46" s="4"/>
      <c r="E46" s="24"/>
      <c r="F46" s="24"/>
      <c r="G46" s="1"/>
      <c r="H46" s="1"/>
      <c r="I46" s="3"/>
      <c r="J46" s="3"/>
      <c r="K46" s="1"/>
      <c r="L46" s="1"/>
      <c r="M46" s="1"/>
      <c r="N46" s="1"/>
      <c r="O46" s="1"/>
    </row>
    <row r="47" spans="2:15" ht="24.75" customHeight="1">
      <c r="B47" s="680" t="s">
        <v>192</v>
      </c>
      <c r="C47" s="680"/>
      <c r="D47" s="680"/>
      <c r="E47" s="680"/>
      <c r="F47" s="680"/>
      <c r="G47" s="680"/>
      <c r="H47" s="680"/>
      <c r="I47" s="680"/>
      <c r="J47" s="680"/>
      <c r="K47" s="216"/>
      <c r="L47" s="1"/>
      <c r="M47" s="1"/>
      <c r="N47" s="1"/>
      <c r="O47" s="1"/>
    </row>
    <row r="48" spans="2:15" ht="24.75" customHeight="1" thickBot="1">
      <c r="B48" s="1"/>
      <c r="C48" s="1"/>
      <c r="D48" s="1"/>
      <c r="E48" s="1"/>
      <c r="F48" s="1"/>
      <c r="G48" s="1"/>
      <c r="H48" s="1"/>
      <c r="I48" s="3"/>
      <c r="J48" s="36"/>
      <c r="K48" s="1"/>
      <c r="L48" s="1"/>
      <c r="M48" s="1"/>
      <c r="N48" s="1"/>
      <c r="O48" s="1"/>
    </row>
    <row r="49" spans="2:15" ht="25.15" customHeight="1" thickBot="1">
      <c r="B49" s="78" t="s">
        <v>87</v>
      </c>
      <c r="C49" s="185" t="s">
        <v>88</v>
      </c>
      <c r="D49" s="186"/>
      <c r="E49" s="81"/>
      <c r="F49" s="81"/>
      <c r="G49" s="81"/>
      <c r="H49" s="81"/>
      <c r="I49" s="81"/>
      <c r="J49" s="81"/>
      <c r="K49" s="82"/>
      <c r="L49" s="1"/>
      <c r="M49" s="1"/>
      <c r="N49" s="1"/>
      <c r="O49" s="1"/>
    </row>
    <row r="50" spans="2:15" ht="25.15" customHeight="1" thickTop="1">
      <c r="B50" s="79"/>
      <c r="C50" s="83" t="s">
        <v>89</v>
      </c>
      <c r="D50" s="187"/>
      <c r="E50" s="188"/>
      <c r="F50" s="189"/>
      <c r="G50" s="190" t="s">
        <v>90</v>
      </c>
      <c r="H50" s="191"/>
      <c r="I50" s="187" t="s">
        <v>91</v>
      </c>
      <c r="J50" s="187"/>
      <c r="K50" s="188"/>
      <c r="L50" s="1"/>
      <c r="M50" s="1"/>
      <c r="N50" s="1"/>
      <c r="O50" s="1"/>
    </row>
    <row r="51" spans="2:15" ht="25.15" customHeight="1" thickBot="1">
      <c r="B51" s="80"/>
      <c r="C51" s="192">
        <f>C19</f>
        <v>38598</v>
      </c>
      <c r="D51" s="192">
        <f>D19</f>
        <v>38232</v>
      </c>
      <c r="E51" s="192">
        <v>37834</v>
      </c>
      <c r="F51" s="192">
        <f>C19</f>
        <v>38598</v>
      </c>
      <c r="G51" s="192">
        <f>D19</f>
        <v>38232</v>
      </c>
      <c r="H51" s="192">
        <f>E51</f>
        <v>37834</v>
      </c>
      <c r="I51" s="192">
        <f>C19</f>
        <v>38598</v>
      </c>
      <c r="J51" s="192">
        <f>D19</f>
        <v>38232</v>
      </c>
      <c r="K51" s="203">
        <f>E51</f>
        <v>37834</v>
      </c>
      <c r="L51" s="1"/>
      <c r="M51" s="1"/>
      <c r="N51" s="1"/>
      <c r="O51" s="1"/>
    </row>
    <row r="52" spans="2:15" ht="25.15" customHeight="1" thickTop="1">
      <c r="B52" s="27" t="s">
        <v>77</v>
      </c>
      <c r="C52" s="128">
        <v>43.5</v>
      </c>
      <c r="D52" s="128">
        <v>52.95</v>
      </c>
      <c r="E52" s="128">
        <v>29.774999999999999</v>
      </c>
      <c r="F52" s="28">
        <v>34.725000000000001</v>
      </c>
      <c r="G52" s="28">
        <v>69.424999999999997</v>
      </c>
      <c r="H52" s="28">
        <v>24.85</v>
      </c>
      <c r="I52" s="28">
        <v>51.125</v>
      </c>
      <c r="J52" s="28">
        <v>75.424999999999997</v>
      </c>
      <c r="K52" s="204">
        <v>37.725000000000001</v>
      </c>
      <c r="L52" s="1"/>
      <c r="M52" s="1"/>
      <c r="N52" s="1"/>
      <c r="O52" s="1"/>
    </row>
    <row r="53" spans="2:15" ht="25.15" customHeight="1">
      <c r="B53" s="27" t="s">
        <v>78</v>
      </c>
      <c r="C53" s="128">
        <v>42.1</v>
      </c>
      <c r="D53" s="128">
        <v>54.05</v>
      </c>
      <c r="E53" s="128">
        <v>28.966666666666665</v>
      </c>
      <c r="F53" s="28">
        <v>32.799999999999997</v>
      </c>
      <c r="G53" s="28">
        <v>61</v>
      </c>
      <c r="H53" s="28">
        <v>21.333333333333332</v>
      </c>
      <c r="I53" s="28">
        <v>50.8</v>
      </c>
      <c r="J53" s="28">
        <v>73.724999999999994</v>
      </c>
      <c r="K53" s="204">
        <v>34.024999999999999</v>
      </c>
      <c r="L53" s="1"/>
      <c r="M53" s="1"/>
      <c r="N53" s="1"/>
      <c r="O53" s="1"/>
    </row>
    <row r="54" spans="2:15" ht="25.15" customHeight="1">
      <c r="B54" s="27" t="s">
        <v>79</v>
      </c>
      <c r="C54" s="128">
        <v>39</v>
      </c>
      <c r="D54" s="128">
        <v>44.475000000000001</v>
      </c>
      <c r="E54" s="128">
        <v>28</v>
      </c>
      <c r="F54" s="28">
        <v>26.933333333333334</v>
      </c>
      <c r="G54" s="28">
        <v>58.5</v>
      </c>
      <c r="H54" s="28">
        <v>19.5</v>
      </c>
      <c r="I54" s="28">
        <v>45.075000000000003</v>
      </c>
      <c r="J54" s="28">
        <v>67.099999999999994</v>
      </c>
      <c r="K54" s="204">
        <v>33.25</v>
      </c>
      <c r="L54" s="1"/>
      <c r="M54" s="1"/>
      <c r="N54" s="1"/>
      <c r="O54" s="1"/>
    </row>
    <row r="55" spans="2:15" ht="25.15" customHeight="1">
      <c r="B55" s="27" t="s">
        <v>81</v>
      </c>
      <c r="C55" s="128">
        <v>36</v>
      </c>
      <c r="D55" s="128" t="s">
        <v>189</v>
      </c>
      <c r="E55" s="128" t="s">
        <v>80</v>
      </c>
      <c r="F55" s="28" t="s">
        <v>80</v>
      </c>
      <c r="G55" s="28" t="s">
        <v>80</v>
      </c>
      <c r="H55" s="28" t="s">
        <v>80</v>
      </c>
      <c r="I55" s="28">
        <v>32.5</v>
      </c>
      <c r="J55" s="28">
        <v>56.533333333333331</v>
      </c>
      <c r="K55" s="204">
        <v>19.8</v>
      </c>
      <c r="L55" s="1"/>
      <c r="M55" s="1"/>
      <c r="N55" s="1"/>
      <c r="O55" s="1"/>
    </row>
    <row r="56" spans="2:15" ht="25.15" customHeight="1" thickBot="1">
      <c r="B56" s="29" t="s">
        <v>82</v>
      </c>
      <c r="C56" s="129">
        <v>25</v>
      </c>
      <c r="D56" s="129">
        <v>30.4</v>
      </c>
      <c r="E56" s="129">
        <v>27.55</v>
      </c>
      <c r="F56" s="30">
        <v>23</v>
      </c>
      <c r="G56" s="30">
        <v>42.825000000000003</v>
      </c>
      <c r="H56" s="30">
        <v>28.175000000000001</v>
      </c>
      <c r="I56" s="30">
        <v>33.575000000000003</v>
      </c>
      <c r="J56" s="30">
        <v>57.75</v>
      </c>
      <c r="K56" s="205">
        <v>29.166666666666668</v>
      </c>
      <c r="L56" s="1"/>
      <c r="M56" s="1"/>
      <c r="N56" s="1"/>
      <c r="O56" s="1"/>
    </row>
    <row r="57" spans="2:15" ht="15.75">
      <c r="B57" s="1" t="s">
        <v>83</v>
      </c>
      <c r="C57" s="9"/>
      <c r="D57" s="9"/>
      <c r="E57" s="9"/>
      <c r="F57" s="9"/>
      <c r="G57" s="10"/>
      <c r="H57" s="10"/>
      <c r="I57" s="10"/>
      <c r="J57" s="37"/>
      <c r="K57" s="1"/>
      <c r="L57" s="1"/>
      <c r="M57" s="1"/>
      <c r="N57" s="1"/>
      <c r="O57" s="1"/>
    </row>
    <row r="58" spans="2:15" ht="15.75">
      <c r="B58" s="1" t="s">
        <v>179</v>
      </c>
      <c r="C58" s="9"/>
      <c r="D58" s="9"/>
      <c r="E58" s="9"/>
      <c r="F58" s="9"/>
      <c r="G58" s="10"/>
      <c r="H58" s="10"/>
      <c r="I58" s="10"/>
      <c r="J58" s="10"/>
      <c r="K58" s="1"/>
      <c r="L58" s="1"/>
      <c r="M58" s="1"/>
      <c r="N58" s="1"/>
      <c r="O58" s="1"/>
    </row>
    <row r="59" spans="2:15">
      <c r="B59" s="1" t="s">
        <v>97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4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4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4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4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4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4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4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4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4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4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4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4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4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4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4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4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4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4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4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4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4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4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4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>
      <c r="B90" s="1"/>
      <c r="C90" s="1"/>
      <c r="D90" s="1"/>
      <c r="E90" s="1"/>
      <c r="F90" s="1"/>
      <c r="G90" s="1"/>
      <c r="H90" s="1"/>
      <c r="I90" s="1"/>
      <c r="J90" s="1"/>
    </row>
  </sheetData>
  <mergeCells count="6">
    <mergeCell ref="B2:K2"/>
    <mergeCell ref="B15:J15"/>
    <mergeCell ref="B47:J47"/>
    <mergeCell ref="J6:K6"/>
    <mergeCell ref="B3:K3"/>
    <mergeCell ref="J5:K5"/>
  </mergeCells>
  <phoneticPr fontId="36" type="noConversion"/>
  <printOptions horizontalCentered="1"/>
  <pageMargins left="0.78740157480314965" right="0.39370078740157483" top="0.78740157480314965" bottom="0.39370078740157483" header="0" footer="0"/>
  <pageSetup paperSize="9" scale="30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indexed="40"/>
    <pageSetUpPr fitToPage="1"/>
  </sheetPr>
  <dimension ref="A1:J59"/>
  <sheetViews>
    <sheetView zoomScale="75" workbookViewId="0">
      <selection activeCell="F17" sqref="F17"/>
    </sheetView>
  </sheetViews>
  <sheetFormatPr baseColWidth="10" defaultRowHeight="12.75"/>
  <cols>
    <col min="1" max="1" width="2.5703125" style="253" customWidth="1"/>
    <col min="2" max="2" width="30.42578125" style="253" customWidth="1"/>
    <col min="3" max="3" width="24" style="253" customWidth="1"/>
    <col min="4" max="4" width="23.85546875" style="253" customWidth="1"/>
    <col min="5" max="5" width="33" style="253" customWidth="1"/>
    <col min="6" max="6" width="23.85546875" style="253" customWidth="1"/>
  </cols>
  <sheetData>
    <row r="1" spans="1:7" ht="15">
      <c r="A1" s="252"/>
      <c r="B1" s="336" t="e">
        <f>#REF!</f>
        <v>#REF!</v>
      </c>
      <c r="C1" s="336"/>
      <c r="D1" s="336"/>
      <c r="E1" s="336"/>
      <c r="F1" s="258"/>
      <c r="G1" s="251"/>
    </row>
    <row r="2" spans="1:7" ht="1.5" hidden="1" customHeight="1" thickBot="1">
      <c r="A2" s="245"/>
      <c r="B2" s="348"/>
      <c r="C2" s="249"/>
      <c r="D2" s="249"/>
      <c r="E2" s="249"/>
      <c r="F2" s="258"/>
      <c r="G2" s="251"/>
    </row>
    <row r="3" spans="1:7" ht="15">
      <c r="A3" s="245"/>
      <c r="B3" s="336" t="e">
        <f>#REF!</f>
        <v>#REF!</v>
      </c>
      <c r="C3" s="336"/>
      <c r="D3" s="336"/>
      <c r="E3" s="249"/>
      <c r="F3" s="258"/>
      <c r="G3" s="251"/>
    </row>
    <row r="4" spans="1:7" ht="13.5" thickBot="1">
      <c r="A4" s="245"/>
      <c r="B4" s="249"/>
      <c r="C4" s="249"/>
      <c r="D4" s="249"/>
      <c r="E4" s="249"/>
      <c r="F4" s="258"/>
      <c r="G4" s="251"/>
    </row>
    <row r="5" spans="1:7" ht="21.75" thickTop="1" thickBot="1">
      <c r="A5" s="245"/>
      <c r="B5" s="259"/>
      <c r="C5" s="249"/>
      <c r="D5" s="538" t="s">
        <v>265</v>
      </c>
      <c r="E5" s="539"/>
      <c r="F5" s="258"/>
      <c r="G5" s="251"/>
    </row>
    <row r="6" spans="1:7" ht="23.45" customHeight="1" thickTop="1">
      <c r="A6" s="245"/>
      <c r="B6" s="249"/>
      <c r="C6" s="249"/>
      <c r="D6" s="249"/>
      <c r="E6" s="249"/>
      <c r="F6" s="258"/>
      <c r="G6" s="251"/>
    </row>
    <row r="7" spans="1:7" ht="31.9" customHeight="1">
      <c r="A7" s="245"/>
      <c r="B7" s="249"/>
      <c r="C7" s="249"/>
      <c r="D7" s="249"/>
      <c r="E7" s="249"/>
      <c r="F7" s="258"/>
      <c r="G7" s="251"/>
    </row>
    <row r="8" spans="1:7" ht="18">
      <c r="A8" s="245"/>
      <c r="B8" s="260" t="s">
        <v>183</v>
      </c>
      <c r="C8" s="249"/>
      <c r="D8" s="249"/>
      <c r="E8" s="249"/>
      <c r="F8" s="258"/>
      <c r="G8" s="251"/>
    </row>
    <row r="9" spans="1:7" ht="26.45" customHeight="1" thickBot="1">
      <c r="A9" s="245"/>
      <c r="B9" s="249"/>
      <c r="C9" s="249"/>
      <c r="D9" s="249"/>
      <c r="E9" s="249"/>
      <c r="F9" s="258"/>
      <c r="G9" s="251"/>
    </row>
    <row r="10" spans="1:7" ht="30" customHeight="1" thickBot="1">
      <c r="A10" s="245"/>
      <c r="B10" s="523" t="s">
        <v>184</v>
      </c>
      <c r="C10" s="261"/>
      <c r="D10" s="262"/>
      <c r="E10" s="263"/>
      <c r="F10" s="258" t="s">
        <v>87</v>
      </c>
      <c r="G10" s="251"/>
    </row>
    <row r="11" spans="1:7" ht="30" customHeight="1" thickBot="1">
      <c r="A11" s="245"/>
      <c r="B11" s="514" t="s">
        <v>18</v>
      </c>
      <c r="C11" s="515" t="s">
        <v>19</v>
      </c>
      <c r="D11" s="514" t="s">
        <v>20</v>
      </c>
      <c r="E11" s="514" t="s">
        <v>21</v>
      </c>
      <c r="F11" s="258"/>
      <c r="G11" s="251"/>
    </row>
    <row r="12" spans="1:7" ht="30" customHeight="1" thickTop="1">
      <c r="A12" s="245"/>
      <c r="B12" s="264">
        <v>10</v>
      </c>
      <c r="C12" s="229" t="e">
        <f>#REF!</f>
        <v>#REF!</v>
      </c>
      <c r="D12" s="264">
        <v>30</v>
      </c>
      <c r="E12" s="265" t="e">
        <f t="shared" ref="E12:E19" si="0">(D12*C12)/(B12*D12)</f>
        <v>#REF!</v>
      </c>
      <c r="F12" s="258"/>
      <c r="G12" s="251"/>
    </row>
    <row r="13" spans="1:7" ht="30" customHeight="1">
      <c r="A13" s="245"/>
      <c r="B13" s="264">
        <v>20</v>
      </c>
      <c r="C13" s="229" t="e">
        <f>#REF!</f>
        <v>#REF!</v>
      </c>
      <c r="D13" s="264">
        <v>30</v>
      </c>
      <c r="E13" s="265" t="e">
        <f t="shared" si="0"/>
        <v>#REF!</v>
      </c>
      <c r="F13" s="258"/>
      <c r="G13" s="251"/>
    </row>
    <row r="14" spans="1:7" ht="30" customHeight="1">
      <c r="A14" s="245"/>
      <c r="B14" s="264">
        <v>100</v>
      </c>
      <c r="C14" s="229" t="e">
        <f>#REF!</f>
        <v>#REF!</v>
      </c>
      <c r="D14" s="264">
        <v>30</v>
      </c>
      <c r="E14" s="265" t="e">
        <f t="shared" si="0"/>
        <v>#REF!</v>
      </c>
      <c r="F14" s="258"/>
      <c r="G14" s="251"/>
    </row>
    <row r="15" spans="1:7" ht="30" customHeight="1">
      <c r="A15" s="245"/>
      <c r="B15" s="264">
        <v>300</v>
      </c>
      <c r="C15" s="229" t="e">
        <f>#REF!</f>
        <v>#REF!</v>
      </c>
      <c r="D15" s="264">
        <v>30</v>
      </c>
      <c r="E15" s="265" t="e">
        <f t="shared" si="0"/>
        <v>#REF!</v>
      </c>
      <c r="F15" s="258"/>
      <c r="G15" s="251"/>
    </row>
    <row r="16" spans="1:7" ht="30" customHeight="1">
      <c r="A16" s="245"/>
      <c r="B16" s="264">
        <v>500</v>
      </c>
      <c r="C16" s="229" t="e">
        <f>#REF!</f>
        <v>#REF!</v>
      </c>
      <c r="D16" s="264">
        <v>30</v>
      </c>
      <c r="E16" s="265" t="e">
        <f t="shared" si="0"/>
        <v>#REF!</v>
      </c>
      <c r="F16" s="258"/>
      <c r="G16" s="251"/>
    </row>
    <row r="17" spans="1:7" ht="30" customHeight="1">
      <c r="A17" s="245"/>
      <c r="B17" s="264">
        <v>750</v>
      </c>
      <c r="C17" s="229" t="e">
        <f>#REF!</f>
        <v>#REF!</v>
      </c>
      <c r="D17" s="264">
        <v>30</v>
      </c>
      <c r="E17" s="265" t="e">
        <f t="shared" si="0"/>
        <v>#REF!</v>
      </c>
      <c r="F17" s="258"/>
      <c r="G17" s="251"/>
    </row>
    <row r="18" spans="1:7" ht="30" customHeight="1">
      <c r="A18" s="245"/>
      <c r="B18" s="264">
        <v>1000</v>
      </c>
      <c r="C18" s="229" t="e">
        <f>#REF!</f>
        <v>#REF!</v>
      </c>
      <c r="D18" s="264">
        <v>30</v>
      </c>
      <c r="E18" s="265" t="e">
        <f t="shared" si="0"/>
        <v>#REF!</v>
      </c>
      <c r="F18" s="258"/>
      <c r="G18" s="251"/>
    </row>
    <row r="19" spans="1:7" ht="30" customHeight="1" thickBot="1">
      <c r="A19" s="245"/>
      <c r="B19" s="266">
        <v>1500</v>
      </c>
      <c r="C19" s="230" t="e">
        <f>#REF!</f>
        <v>#REF!</v>
      </c>
      <c r="D19" s="266">
        <v>30</v>
      </c>
      <c r="E19" s="267" t="e">
        <f t="shared" si="0"/>
        <v>#REF!</v>
      </c>
      <c r="F19" s="258"/>
      <c r="G19" s="251"/>
    </row>
    <row r="20" spans="1:7">
      <c r="A20" s="245"/>
      <c r="B20" s="258"/>
      <c r="C20" s="258"/>
      <c r="D20" s="258"/>
      <c r="E20" s="258"/>
      <c r="F20" s="258"/>
      <c r="G20" s="251"/>
    </row>
    <row r="21" spans="1:7">
      <c r="A21" s="245"/>
      <c r="B21" s="258"/>
      <c r="C21" s="258"/>
      <c r="D21" s="258"/>
      <c r="E21" s="258"/>
      <c r="F21" s="258"/>
      <c r="G21" s="251"/>
    </row>
    <row r="22" spans="1:7">
      <c r="A22" s="245"/>
      <c r="B22" s="258"/>
      <c r="C22" s="258"/>
      <c r="D22" s="258"/>
      <c r="E22" s="258"/>
      <c r="F22" s="258"/>
      <c r="G22" s="251"/>
    </row>
    <row r="23" spans="1:7">
      <c r="A23" s="245"/>
      <c r="B23" s="258"/>
      <c r="C23" s="258"/>
      <c r="D23" s="258"/>
      <c r="E23" s="258"/>
      <c r="F23" s="258"/>
      <c r="G23" s="251"/>
    </row>
    <row r="24" spans="1:7" ht="19.5" customHeight="1">
      <c r="A24" s="245"/>
      <c r="B24" s="260" t="s">
        <v>185</v>
      </c>
      <c r="C24" s="249"/>
      <c r="D24" s="249"/>
      <c r="E24" s="249"/>
      <c r="F24" s="250"/>
      <c r="G24" s="251"/>
    </row>
    <row r="25" spans="1:7" ht="18" customHeight="1" thickBot="1">
      <c r="A25" s="245"/>
      <c r="B25" s="268"/>
      <c r="C25" s="269"/>
      <c r="D25" s="249"/>
      <c r="E25" s="249"/>
      <c r="F25" s="250"/>
      <c r="G25" s="251"/>
    </row>
    <row r="26" spans="1:7" ht="18" customHeight="1">
      <c r="A26" s="245"/>
      <c r="B26" s="78" t="s">
        <v>73</v>
      </c>
      <c r="C26" s="517" t="s">
        <v>74</v>
      </c>
      <c r="D26" s="518"/>
      <c r="E26" s="518"/>
      <c r="F26" s="518"/>
      <c r="G26" s="251"/>
    </row>
    <row r="27" spans="1:7" ht="18" customHeight="1" thickBot="1">
      <c r="A27" s="245"/>
      <c r="B27" s="516"/>
      <c r="C27" s="522" t="s">
        <v>278</v>
      </c>
      <c r="D27" s="270" t="s">
        <v>160</v>
      </c>
      <c r="E27" s="270" t="s">
        <v>161</v>
      </c>
      <c r="F27" s="271" t="s">
        <v>162</v>
      </c>
      <c r="G27" s="251"/>
    </row>
    <row r="28" spans="1:7" ht="18" customHeight="1" thickTop="1">
      <c r="A28" s="245"/>
      <c r="B28" s="272" t="s">
        <v>77</v>
      </c>
      <c r="C28" s="229" t="e">
        <f>#REF!</f>
        <v>#REF!</v>
      </c>
      <c r="D28" s="229" t="e">
        <f>#REF!</f>
        <v>#REF!</v>
      </c>
      <c r="E28" s="229" t="e">
        <f>#REF!</f>
        <v>#REF!</v>
      </c>
      <c r="F28" s="229" t="e">
        <f>#REF!</f>
        <v>#REF!</v>
      </c>
      <c r="G28" s="251"/>
    </row>
    <row r="29" spans="1:7" ht="18" customHeight="1">
      <c r="A29" s="245"/>
      <c r="B29" s="272" t="s">
        <v>78</v>
      </c>
      <c r="C29" s="229" t="e">
        <f>#REF!</f>
        <v>#REF!</v>
      </c>
      <c r="D29" s="229" t="e">
        <f>#REF!</f>
        <v>#REF!</v>
      </c>
      <c r="E29" s="229" t="e">
        <f>#REF!</f>
        <v>#REF!</v>
      </c>
      <c r="F29" s="229" t="e">
        <f>#REF!</f>
        <v>#REF!</v>
      </c>
      <c r="G29" s="251"/>
    </row>
    <row r="30" spans="1:7" ht="18" customHeight="1">
      <c r="A30" s="245"/>
      <c r="B30" s="272" t="s">
        <v>79</v>
      </c>
      <c r="C30" s="229" t="e">
        <f>#REF!</f>
        <v>#REF!</v>
      </c>
      <c r="D30" s="229" t="e">
        <f>#REF!</f>
        <v>#REF!</v>
      </c>
      <c r="E30" s="229" t="e">
        <f>#REF!</f>
        <v>#REF!</v>
      </c>
      <c r="F30" s="229" t="e">
        <f>#REF!</f>
        <v>#REF!</v>
      </c>
      <c r="G30" s="251"/>
    </row>
    <row r="31" spans="1:7" ht="18" customHeight="1" thickBot="1">
      <c r="A31" s="245"/>
      <c r="B31" s="273" t="s">
        <v>81</v>
      </c>
      <c r="C31" s="230" t="e">
        <f>#REF!</f>
        <v>#REF!</v>
      </c>
      <c r="D31" s="230" t="e">
        <f>#REF!</f>
        <v>#REF!</v>
      </c>
      <c r="E31" s="230" t="e">
        <f>#REF!</f>
        <v>#REF!</v>
      </c>
      <c r="F31" s="230" t="e">
        <f>#REF!</f>
        <v>#REF!</v>
      </c>
      <c r="G31" s="251"/>
    </row>
    <row r="32" spans="1:7" ht="18" customHeight="1">
      <c r="A32" s="245"/>
      <c r="B32" s="249" t="s">
        <v>83</v>
      </c>
      <c r="C32" s="249"/>
      <c r="D32" s="249"/>
      <c r="E32" s="249"/>
      <c r="F32" s="250"/>
      <c r="G32" s="251"/>
    </row>
    <row r="33" spans="1:7" ht="18" customHeight="1" thickBot="1">
      <c r="A33" s="245"/>
      <c r="B33" s="249"/>
      <c r="C33" s="249"/>
      <c r="D33" s="249"/>
      <c r="E33" s="249"/>
      <c r="F33" s="250"/>
      <c r="G33" s="251"/>
    </row>
    <row r="34" spans="1:7" ht="18" customHeight="1">
      <c r="A34" s="245"/>
      <c r="B34" s="76" t="s">
        <v>73</v>
      </c>
      <c r="C34" s="175" t="s">
        <v>84</v>
      </c>
      <c r="D34" s="520"/>
      <c r="E34" s="520"/>
      <c r="F34" s="521"/>
      <c r="G34" s="251"/>
    </row>
    <row r="35" spans="1:7" ht="18" customHeight="1" thickBot="1">
      <c r="A35" s="245"/>
      <c r="B35" s="519"/>
      <c r="C35" s="274" t="s">
        <v>163</v>
      </c>
      <c r="D35" s="275" t="s">
        <v>164</v>
      </c>
      <c r="E35" s="275" t="s">
        <v>165</v>
      </c>
      <c r="F35" s="276" t="s">
        <v>166</v>
      </c>
      <c r="G35" s="251"/>
    </row>
    <row r="36" spans="1:7" ht="18" customHeight="1" thickTop="1">
      <c r="A36" s="245"/>
      <c r="B36" s="277" t="s">
        <v>77</v>
      </c>
      <c r="C36" s="278" t="e">
        <f>#REF!</f>
        <v>#REF!</v>
      </c>
      <c r="D36" s="278" t="e">
        <f>#REF!</f>
        <v>#REF!</v>
      </c>
      <c r="E36" s="278" t="e">
        <f>#REF!</f>
        <v>#REF!</v>
      </c>
      <c r="F36" s="278" t="e">
        <f>#REF!</f>
        <v>#REF!</v>
      </c>
      <c r="G36" s="251"/>
    </row>
    <row r="37" spans="1:7" ht="18" customHeight="1">
      <c r="A37" s="245"/>
      <c r="B37" s="272" t="s">
        <v>78</v>
      </c>
      <c r="C37" s="229" t="e">
        <f>#REF!</f>
        <v>#REF!</v>
      </c>
      <c r="D37" s="229" t="e">
        <f>#REF!</f>
        <v>#REF!</v>
      </c>
      <c r="E37" s="229" t="e">
        <f>#REF!</f>
        <v>#REF!</v>
      </c>
      <c r="F37" s="229" t="e">
        <f>#REF!</f>
        <v>#REF!</v>
      </c>
      <c r="G37" s="251"/>
    </row>
    <row r="38" spans="1:7" ht="18" customHeight="1">
      <c r="A38" s="245"/>
      <c r="B38" s="272" t="s">
        <v>79</v>
      </c>
      <c r="C38" s="229" t="e">
        <f>#REF!</f>
        <v>#REF!</v>
      </c>
      <c r="D38" s="229" t="e">
        <f>#REF!</f>
        <v>#REF!</v>
      </c>
      <c r="E38" s="229" t="e">
        <f>#REF!</f>
        <v>#REF!</v>
      </c>
      <c r="F38" s="229" t="e">
        <f>#REF!</f>
        <v>#REF!</v>
      </c>
      <c r="G38" s="251"/>
    </row>
    <row r="39" spans="1:7" ht="18" customHeight="1" thickBot="1">
      <c r="A39" s="245"/>
      <c r="B39" s="273" t="s">
        <v>81</v>
      </c>
      <c r="C39" s="230" t="e">
        <f>#REF!</f>
        <v>#REF!</v>
      </c>
      <c r="D39" s="230" t="e">
        <f>#REF!</f>
        <v>#REF!</v>
      </c>
      <c r="E39" s="230" t="e">
        <f>#REF!</f>
        <v>#REF!</v>
      </c>
      <c r="F39" s="230" t="e">
        <f>#REF!</f>
        <v>#REF!</v>
      </c>
      <c r="G39" s="251"/>
    </row>
    <row r="40" spans="1:7" ht="18" customHeight="1">
      <c r="A40" s="245"/>
      <c r="B40" s="249" t="s">
        <v>83</v>
      </c>
      <c r="C40" s="268"/>
      <c r="D40" s="249"/>
      <c r="E40" s="249"/>
      <c r="F40" s="250"/>
      <c r="G40" s="251"/>
    </row>
    <row r="41" spans="1:7" ht="18" customHeight="1" thickBot="1">
      <c r="A41" s="245"/>
      <c r="B41" s="249"/>
      <c r="C41" s="268"/>
      <c r="D41" s="249"/>
      <c r="E41" s="249"/>
      <c r="F41" s="250"/>
      <c r="G41" s="251"/>
    </row>
    <row r="42" spans="1:7" ht="18" customHeight="1">
      <c r="A42" s="245"/>
      <c r="B42" s="76" t="s">
        <v>73</v>
      </c>
      <c r="C42" s="175" t="s">
        <v>86</v>
      </c>
      <c r="D42" s="520"/>
      <c r="E42" s="520"/>
      <c r="F42" s="521"/>
      <c r="G42" s="251"/>
    </row>
    <row r="43" spans="1:7" ht="18" customHeight="1" thickBot="1">
      <c r="A43" s="245"/>
      <c r="B43" s="519"/>
      <c r="C43" s="274" t="s">
        <v>167</v>
      </c>
      <c r="D43" s="275" t="s">
        <v>168</v>
      </c>
      <c r="E43" s="275" t="s">
        <v>169</v>
      </c>
      <c r="F43" s="276" t="s">
        <v>170</v>
      </c>
      <c r="G43" s="251"/>
    </row>
    <row r="44" spans="1:7" ht="18" customHeight="1" thickTop="1">
      <c r="A44" s="245"/>
      <c r="B44" s="277" t="s">
        <v>77</v>
      </c>
      <c r="C44" s="278" t="e">
        <f>#REF!</f>
        <v>#REF!</v>
      </c>
      <c r="D44" s="278" t="e">
        <f>#REF!</f>
        <v>#REF!</v>
      </c>
      <c r="E44" s="278" t="e">
        <f>#REF!</f>
        <v>#REF!</v>
      </c>
      <c r="F44" s="278" t="e">
        <f>#REF!</f>
        <v>#REF!</v>
      </c>
      <c r="G44" s="251"/>
    </row>
    <row r="45" spans="1:7" ht="18" customHeight="1">
      <c r="A45" s="245"/>
      <c r="B45" s="272" t="s">
        <v>78</v>
      </c>
      <c r="C45" s="229" t="e">
        <f>#REF!</f>
        <v>#REF!</v>
      </c>
      <c r="D45" s="229" t="e">
        <f>#REF!</f>
        <v>#REF!</v>
      </c>
      <c r="E45" s="229" t="e">
        <f>#REF!</f>
        <v>#REF!</v>
      </c>
      <c r="F45" s="229" t="e">
        <f>#REF!</f>
        <v>#REF!</v>
      </c>
      <c r="G45" s="251"/>
    </row>
    <row r="46" spans="1:7" ht="18" customHeight="1">
      <c r="A46" s="245"/>
      <c r="B46" s="272" t="s">
        <v>79</v>
      </c>
      <c r="C46" s="229" t="e">
        <f>#REF!</f>
        <v>#REF!</v>
      </c>
      <c r="D46" s="229" t="e">
        <f>#REF!</f>
        <v>#REF!</v>
      </c>
      <c r="E46" s="229" t="e">
        <f>#REF!</f>
        <v>#REF!</v>
      </c>
      <c r="F46" s="229" t="e">
        <f>#REF!</f>
        <v>#REF!</v>
      </c>
      <c r="G46" s="251"/>
    </row>
    <row r="47" spans="1:7" ht="18" customHeight="1" thickBot="1">
      <c r="A47" s="245"/>
      <c r="B47" s="273" t="s">
        <v>81</v>
      </c>
      <c r="C47" s="230" t="e">
        <f>#REF!</f>
        <v>#REF!</v>
      </c>
      <c r="D47" s="230" t="e">
        <f>#REF!</f>
        <v>#REF!</v>
      </c>
      <c r="E47" s="230" t="e">
        <f>#REF!</f>
        <v>#REF!</v>
      </c>
      <c r="F47" s="230" t="e">
        <f>#REF!</f>
        <v>#REF!</v>
      </c>
      <c r="G47" s="251"/>
    </row>
    <row r="48" spans="1:7" ht="18" customHeight="1">
      <c r="A48" s="245"/>
      <c r="B48" s="249" t="s">
        <v>83</v>
      </c>
      <c r="C48" s="268"/>
      <c r="D48" s="279"/>
      <c r="E48" s="249"/>
      <c r="F48" s="250"/>
      <c r="G48" s="251"/>
    </row>
    <row r="49" spans="1:10" ht="18" customHeight="1">
      <c r="A49" s="245"/>
      <c r="B49" s="249"/>
      <c r="C49" s="268"/>
      <c r="D49" s="279"/>
      <c r="E49" s="249"/>
      <c r="F49" s="250"/>
      <c r="G49" s="251"/>
      <c r="J49" t="s">
        <v>87</v>
      </c>
    </row>
    <row r="50" spans="1:10" ht="18" customHeight="1">
      <c r="A50" s="245"/>
      <c r="B50" s="258"/>
      <c r="C50" s="258"/>
      <c r="D50" s="258"/>
      <c r="E50" s="258"/>
      <c r="F50" s="258"/>
      <c r="G50" s="251"/>
    </row>
    <row r="51" spans="1:10" ht="18" customHeight="1">
      <c r="A51" s="245"/>
      <c r="B51" s="280"/>
      <c r="C51" s="258"/>
      <c r="D51" s="258"/>
      <c r="E51" s="258"/>
      <c r="F51" s="258"/>
      <c r="G51" s="251"/>
    </row>
    <row r="52" spans="1:10" ht="18" customHeight="1">
      <c r="A52" s="245"/>
      <c r="B52" s="280" t="s">
        <v>98</v>
      </c>
      <c r="C52" s="258"/>
      <c r="D52" s="258"/>
      <c r="E52" s="258"/>
      <c r="F52" s="258"/>
      <c r="G52" s="251"/>
    </row>
    <row r="53" spans="1:10" ht="18" customHeight="1">
      <c r="A53" s="245"/>
      <c r="B53" s="281" t="s">
        <v>99</v>
      </c>
      <c r="C53" s="258"/>
      <c r="D53" s="258"/>
      <c r="E53" s="258"/>
      <c r="F53" s="258"/>
      <c r="G53" s="251"/>
    </row>
    <row r="54" spans="1:10">
      <c r="A54" s="245"/>
      <c r="B54" s="258"/>
      <c r="C54" s="258"/>
      <c r="D54" s="258"/>
      <c r="E54" s="258"/>
      <c r="F54" s="258"/>
      <c r="G54" s="251"/>
    </row>
    <row r="55" spans="1:10" ht="18.95" customHeight="1">
      <c r="A55" s="245"/>
      <c r="B55" s="571"/>
      <c r="C55" s="525"/>
      <c r="D55" s="525"/>
      <c r="E55" s="525"/>
      <c r="F55" s="525"/>
      <c r="G55" s="251"/>
    </row>
    <row r="56" spans="1:10" ht="18.95" customHeight="1">
      <c r="B56" s="524"/>
      <c r="C56" s="525"/>
      <c r="D56" s="525"/>
      <c r="E56" s="525"/>
      <c r="F56" s="525"/>
      <c r="G56" s="251"/>
    </row>
    <row r="57" spans="1:10" ht="18.95" customHeight="1">
      <c r="B57" s="524"/>
      <c r="C57" s="525"/>
      <c r="D57" s="525"/>
      <c r="E57" s="525"/>
      <c r="F57" s="525"/>
      <c r="G57" s="251"/>
    </row>
    <row r="58" spans="1:10">
      <c r="B58" s="254"/>
      <c r="C58" s="254"/>
      <c r="D58" s="254"/>
      <c r="E58" s="254"/>
      <c r="F58" s="254"/>
    </row>
    <row r="59" spans="1:10" ht="15">
      <c r="B59" s="571"/>
      <c r="C59" s="254"/>
      <c r="D59" s="254"/>
      <c r="E59" s="254"/>
      <c r="F59" s="254"/>
    </row>
  </sheetData>
  <phoneticPr fontId="36" type="noConversion"/>
  <printOptions horizontalCentered="1"/>
  <pageMargins left="0.19685039370078741" right="0.39370078740157483" top="0.68" bottom="0.39370078740157483" header="0" footer="0"/>
  <pageSetup paperSize="5" scale="5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42"/>
    <pageSetUpPr fitToPage="1"/>
  </sheetPr>
  <dimension ref="B2:G27"/>
  <sheetViews>
    <sheetView zoomScale="50" workbookViewId="0">
      <selection activeCell="J20" sqref="J20"/>
    </sheetView>
  </sheetViews>
  <sheetFormatPr baseColWidth="10" defaultRowHeight="12.75"/>
  <cols>
    <col min="2" max="2" width="28.85546875" customWidth="1"/>
    <col min="3" max="7" width="25.7109375" customWidth="1"/>
  </cols>
  <sheetData>
    <row r="2" spans="2:7" ht="13.5" thickBot="1"/>
    <row r="3" spans="2:7" ht="18">
      <c r="B3" s="689" t="s">
        <v>73</v>
      </c>
      <c r="C3" s="687" t="s">
        <v>74</v>
      </c>
      <c r="D3" s="687"/>
      <c r="E3" s="687"/>
      <c r="F3" s="688"/>
      <c r="G3" s="256"/>
    </row>
    <row r="4" spans="2:7" ht="18.75" thickBot="1">
      <c r="B4" s="690"/>
      <c r="C4" s="566" t="s">
        <v>278</v>
      </c>
      <c r="D4" s="566" t="s">
        <v>160</v>
      </c>
      <c r="E4" s="566" t="s">
        <v>161</v>
      </c>
      <c r="F4" s="567" t="s">
        <v>162</v>
      </c>
      <c r="G4" s="256"/>
    </row>
    <row r="5" spans="2:7" ht="27" thickTop="1">
      <c r="B5" s="564" t="s">
        <v>77</v>
      </c>
      <c r="C5" s="568"/>
      <c r="D5" s="568"/>
      <c r="E5" s="568"/>
      <c r="F5" s="568"/>
      <c r="G5" s="366"/>
    </row>
    <row r="6" spans="2:7" ht="26.25">
      <c r="B6" s="564" t="s">
        <v>78</v>
      </c>
      <c r="C6" s="568"/>
      <c r="D6" s="568"/>
      <c r="E6" s="568"/>
      <c r="F6" s="568"/>
      <c r="G6" s="367"/>
    </row>
    <row r="7" spans="2:7" ht="26.25">
      <c r="B7" s="564" t="s">
        <v>79</v>
      </c>
      <c r="C7" s="568"/>
      <c r="D7" s="568"/>
      <c r="E7" s="568"/>
      <c r="F7" s="568"/>
      <c r="G7" s="367"/>
    </row>
    <row r="8" spans="2:7" ht="26.25">
      <c r="B8" s="564" t="s">
        <v>81</v>
      </c>
      <c r="C8" s="568"/>
      <c r="D8" s="568"/>
      <c r="E8" s="568"/>
      <c r="F8" s="568"/>
      <c r="G8" s="368"/>
    </row>
    <row r="9" spans="2:7" ht="27" thickBot="1">
      <c r="B9" s="565" t="s">
        <v>82</v>
      </c>
      <c r="C9" s="568"/>
      <c r="D9" s="568"/>
      <c r="E9" s="568"/>
      <c r="F9" s="568"/>
      <c r="G9" s="367"/>
    </row>
    <row r="10" spans="2:7" ht="15.75">
      <c r="B10" s="246" t="s">
        <v>83</v>
      </c>
      <c r="C10" s="246"/>
      <c r="D10" s="246"/>
      <c r="E10" s="235"/>
      <c r="F10" s="247"/>
      <c r="G10" s="246"/>
    </row>
    <row r="11" spans="2:7" ht="13.5" thickBot="1">
      <c r="B11" s="246"/>
      <c r="C11" s="246"/>
      <c r="D11" s="246"/>
      <c r="E11" s="246"/>
      <c r="F11" s="247"/>
      <c r="G11" s="246"/>
    </row>
    <row r="12" spans="2:7" ht="15.75">
      <c r="B12" s="689" t="s">
        <v>73</v>
      </c>
      <c r="C12" s="687" t="s">
        <v>84</v>
      </c>
      <c r="D12" s="687"/>
      <c r="E12" s="687"/>
      <c r="F12" s="688"/>
      <c r="G12" s="246"/>
    </row>
    <row r="13" spans="2:7" ht="16.5" thickBot="1">
      <c r="B13" s="690"/>
      <c r="C13" s="563" t="s">
        <v>273</v>
      </c>
      <c r="D13" s="526" t="s">
        <v>164</v>
      </c>
      <c r="E13" s="526" t="s">
        <v>165</v>
      </c>
      <c r="F13" s="527" t="s">
        <v>166</v>
      </c>
      <c r="G13" s="246"/>
    </row>
    <row r="14" spans="2:7" ht="27" thickTop="1">
      <c r="B14" s="528" t="s">
        <v>77</v>
      </c>
      <c r="C14" s="568"/>
      <c r="D14" s="568"/>
      <c r="E14" s="568"/>
      <c r="F14" s="568"/>
      <c r="G14" s="247"/>
    </row>
    <row r="15" spans="2:7" ht="26.25">
      <c r="B15" s="528" t="s">
        <v>78</v>
      </c>
      <c r="C15" s="568"/>
      <c r="D15" s="568"/>
      <c r="E15" s="568"/>
      <c r="F15" s="568"/>
      <c r="G15" s="247"/>
    </row>
    <row r="16" spans="2:7" ht="26.25">
      <c r="B16" s="528" t="s">
        <v>79</v>
      </c>
      <c r="C16" s="568"/>
      <c r="D16" s="568"/>
      <c r="E16" s="568"/>
      <c r="F16" s="568"/>
      <c r="G16" s="455"/>
    </row>
    <row r="17" spans="2:7" ht="26.25">
      <c r="B17" s="528" t="s">
        <v>81</v>
      </c>
      <c r="C17" s="568"/>
      <c r="D17" s="568"/>
      <c r="E17" s="568"/>
      <c r="F17" s="568"/>
      <c r="G17" s="247"/>
    </row>
    <row r="18" spans="2:7" ht="27" thickBot="1">
      <c r="B18" s="529" t="s">
        <v>82</v>
      </c>
      <c r="C18" s="568"/>
      <c r="D18" s="568"/>
      <c r="E18" s="568"/>
      <c r="F18" s="568"/>
      <c r="G18" s="247"/>
    </row>
    <row r="19" spans="2:7">
      <c r="B19" s="246" t="s">
        <v>83</v>
      </c>
      <c r="C19" s="248"/>
      <c r="D19" s="246"/>
      <c r="E19" s="246"/>
      <c r="F19" s="247"/>
      <c r="G19" s="246"/>
    </row>
    <row r="20" spans="2:7" ht="13.5" thickBot="1">
      <c r="B20" s="246"/>
      <c r="C20" s="248"/>
      <c r="D20" s="246"/>
      <c r="E20" s="246"/>
      <c r="F20" s="255"/>
      <c r="G20" s="246"/>
    </row>
    <row r="21" spans="2:7" ht="15.75">
      <c r="B21" s="684" t="s">
        <v>73</v>
      </c>
      <c r="C21" s="686" t="s">
        <v>86</v>
      </c>
      <c r="D21" s="687"/>
      <c r="E21" s="687"/>
      <c r="F21" s="687"/>
      <c r="G21" s="688"/>
    </row>
    <row r="22" spans="2:7" ht="16.5" thickBot="1">
      <c r="B22" s="685"/>
      <c r="C22" s="531" t="s">
        <v>167</v>
      </c>
      <c r="D22" s="532" t="s">
        <v>168</v>
      </c>
      <c r="E22" s="533" t="s">
        <v>169</v>
      </c>
      <c r="F22" s="533" t="s">
        <v>170</v>
      </c>
      <c r="G22" s="534" t="s">
        <v>213</v>
      </c>
    </row>
    <row r="23" spans="2:7" ht="27" thickTop="1">
      <c r="B23" s="530" t="s">
        <v>77</v>
      </c>
      <c r="C23" s="568"/>
      <c r="D23" s="568"/>
      <c r="E23" s="568"/>
      <c r="F23" s="568"/>
      <c r="G23" s="568"/>
    </row>
    <row r="24" spans="2:7" ht="26.25">
      <c r="B24" s="528" t="s">
        <v>78</v>
      </c>
      <c r="C24" s="568"/>
      <c r="D24" s="568"/>
      <c r="E24" s="568"/>
      <c r="F24" s="568"/>
      <c r="G24" s="568"/>
    </row>
    <row r="25" spans="2:7" ht="26.25">
      <c r="B25" s="528" t="s">
        <v>79</v>
      </c>
      <c r="C25" s="568"/>
      <c r="D25" s="568"/>
      <c r="E25" s="568"/>
      <c r="F25" s="568"/>
      <c r="G25" s="568"/>
    </row>
    <row r="26" spans="2:7" ht="26.25">
      <c r="B26" s="528" t="s">
        <v>171</v>
      </c>
      <c r="C26" s="568"/>
      <c r="D26" s="568"/>
      <c r="E26" s="568"/>
      <c r="F26" s="568"/>
      <c r="G26" s="568"/>
    </row>
    <row r="27" spans="2:7" ht="27" thickBot="1">
      <c r="B27" s="529" t="s">
        <v>82</v>
      </c>
      <c r="C27" s="568"/>
      <c r="D27" s="568"/>
      <c r="E27" s="568"/>
      <c r="F27" s="568"/>
      <c r="G27" s="568"/>
    </row>
  </sheetData>
  <mergeCells count="6">
    <mergeCell ref="B21:B22"/>
    <mergeCell ref="C21:G21"/>
    <mergeCell ref="B3:B4"/>
    <mergeCell ref="C3:F3"/>
    <mergeCell ref="B12:B13"/>
    <mergeCell ref="C12:F12"/>
  </mergeCells>
  <phoneticPr fontId="36" type="noConversion"/>
  <pageMargins left="0.75" right="0.75" top="1" bottom="1" header="0" footer="0"/>
  <pageSetup scale="5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">
    <pageSetUpPr fitToPage="1"/>
  </sheetPr>
  <dimension ref="A2:M29"/>
  <sheetViews>
    <sheetView zoomScale="75" workbookViewId="0">
      <selection activeCell="G36" sqref="G36"/>
    </sheetView>
  </sheetViews>
  <sheetFormatPr baseColWidth="10" defaultColWidth="26" defaultRowHeight="14.25"/>
  <cols>
    <col min="1" max="1" width="26" style="408" customWidth="1"/>
    <col min="2" max="13" width="17.140625" style="408" customWidth="1"/>
    <col min="14" max="16384" width="26" style="408"/>
  </cols>
  <sheetData>
    <row r="2" spans="1:13" ht="15">
      <c r="A2" s="409" t="s">
        <v>233</v>
      </c>
      <c r="B2" s="409"/>
      <c r="C2" s="409"/>
    </row>
    <row r="4" spans="1:13" ht="15">
      <c r="A4" s="409" t="s">
        <v>230</v>
      </c>
      <c r="B4" s="409"/>
      <c r="C4" s="409"/>
      <c r="D4" s="409"/>
    </row>
    <row r="5" spans="1:13" ht="15" thickBot="1"/>
    <row r="6" spans="1:13" ht="15.75" thickBot="1">
      <c r="A6" s="410">
        <v>2008</v>
      </c>
      <c r="B6" s="411" t="s">
        <v>14</v>
      </c>
      <c r="C6" s="411" t="s">
        <v>0</v>
      </c>
      <c r="D6" s="411" t="s">
        <v>1</v>
      </c>
      <c r="E6" s="411" t="s">
        <v>2</v>
      </c>
      <c r="F6" s="411" t="s">
        <v>3</v>
      </c>
      <c r="G6" s="411" t="s">
        <v>4</v>
      </c>
      <c r="H6" s="411" t="s">
        <v>15</v>
      </c>
      <c r="I6" s="411" t="s">
        <v>5</v>
      </c>
      <c r="J6" s="411" t="s">
        <v>6</v>
      </c>
      <c r="K6" s="411" t="s">
        <v>7</v>
      </c>
      <c r="L6" s="411" t="s">
        <v>8</v>
      </c>
      <c r="M6" s="411" t="s">
        <v>9</v>
      </c>
    </row>
    <row r="7" spans="1:13" ht="18">
      <c r="A7" s="409" t="s">
        <v>10</v>
      </c>
      <c r="B7" s="412">
        <v>62</v>
      </c>
      <c r="C7" s="412">
        <v>65</v>
      </c>
      <c r="D7" s="412">
        <v>65</v>
      </c>
      <c r="E7" s="412">
        <v>65</v>
      </c>
      <c r="F7" s="306">
        <v>69.5</v>
      </c>
      <c r="G7" s="306">
        <v>69.5</v>
      </c>
      <c r="H7" s="413"/>
      <c r="I7" s="412"/>
      <c r="J7" s="412"/>
      <c r="K7" s="412"/>
      <c r="L7" s="412"/>
      <c r="M7" s="412"/>
    </row>
    <row r="8" spans="1:13" ht="18">
      <c r="A8" s="409" t="s">
        <v>11</v>
      </c>
      <c r="B8" s="412">
        <v>81</v>
      </c>
      <c r="C8" s="412">
        <v>85</v>
      </c>
      <c r="D8" s="412">
        <v>85</v>
      </c>
      <c r="E8" s="412">
        <v>85</v>
      </c>
      <c r="F8" s="307">
        <f>85*1.06</f>
        <v>90.100000000000009</v>
      </c>
      <c r="G8" s="307">
        <f>85*1.06</f>
        <v>90.100000000000009</v>
      </c>
      <c r="H8" s="413"/>
      <c r="I8" s="412"/>
      <c r="J8" s="412"/>
      <c r="K8" s="412"/>
      <c r="L8" s="412"/>
      <c r="M8" s="412"/>
    </row>
    <row r="9" spans="1:13" ht="18">
      <c r="A9" s="409" t="s">
        <v>12</v>
      </c>
      <c r="B9" s="412">
        <v>53.57</v>
      </c>
      <c r="C9" s="412">
        <v>60</v>
      </c>
      <c r="D9" s="412">
        <v>60</v>
      </c>
      <c r="E9" s="412">
        <v>60</v>
      </c>
      <c r="F9" s="307">
        <v>60</v>
      </c>
      <c r="G9" s="307">
        <v>60</v>
      </c>
      <c r="H9" s="413"/>
      <c r="I9" s="412"/>
      <c r="J9" s="412"/>
      <c r="K9" s="412"/>
      <c r="L9" s="412"/>
      <c r="M9" s="412"/>
    </row>
    <row r="10" spans="1:13" ht="18.75" thickBot="1">
      <c r="A10" s="409" t="s">
        <v>13</v>
      </c>
      <c r="B10" s="412">
        <v>46.42</v>
      </c>
      <c r="C10" s="412">
        <v>57</v>
      </c>
      <c r="D10" s="412">
        <v>57</v>
      </c>
      <c r="E10" s="412">
        <v>57</v>
      </c>
      <c r="F10" s="308">
        <f>57*1.0657</f>
        <v>60.744900000000008</v>
      </c>
      <c r="G10" s="308">
        <f>57*1.0657</f>
        <v>60.744900000000008</v>
      </c>
      <c r="H10" s="413"/>
      <c r="I10" s="412"/>
      <c r="J10" s="412"/>
      <c r="K10" s="412"/>
      <c r="L10" s="412"/>
      <c r="M10" s="412"/>
    </row>
    <row r="13" spans="1:13" ht="15">
      <c r="A13" s="409" t="s">
        <v>231</v>
      </c>
      <c r="B13" s="409"/>
      <c r="C13" s="409"/>
      <c r="D13" s="409"/>
    </row>
    <row r="15" spans="1:13" ht="15">
      <c r="A15" s="410">
        <v>2008</v>
      </c>
      <c r="B15" s="414" t="s">
        <v>14</v>
      </c>
      <c r="C15" s="414" t="s">
        <v>0</v>
      </c>
      <c r="D15" s="414" t="s">
        <v>1</v>
      </c>
      <c r="E15" s="414" t="s">
        <v>2</v>
      </c>
      <c r="F15" s="414" t="s">
        <v>3</v>
      </c>
      <c r="G15" s="414" t="s">
        <v>4</v>
      </c>
      <c r="H15" s="414" t="s">
        <v>15</v>
      </c>
      <c r="I15" s="414" t="s">
        <v>5</v>
      </c>
      <c r="J15" s="414" t="s">
        <v>6</v>
      </c>
      <c r="K15" s="414" t="s">
        <v>7</v>
      </c>
      <c r="L15" s="414" t="s">
        <v>8</v>
      </c>
      <c r="M15" s="414" t="s">
        <v>9</v>
      </c>
    </row>
    <row r="16" spans="1:13" ht="15">
      <c r="A16" s="409" t="s">
        <v>10</v>
      </c>
      <c r="B16" s="412"/>
      <c r="C16" s="412"/>
      <c r="D16" s="412"/>
      <c r="E16" s="412">
        <v>107</v>
      </c>
      <c r="F16" s="413"/>
      <c r="G16" s="413"/>
      <c r="H16" s="413"/>
      <c r="I16" s="412"/>
      <c r="J16" s="412"/>
      <c r="K16" s="412"/>
      <c r="L16" s="412"/>
      <c r="M16" s="412"/>
    </row>
    <row r="17" spans="1:13" ht="15">
      <c r="A17" s="409" t="s">
        <v>232</v>
      </c>
      <c r="B17" s="412"/>
      <c r="C17" s="412"/>
      <c r="D17" s="412"/>
      <c r="E17" s="412">
        <v>439</v>
      </c>
      <c r="F17" s="413"/>
      <c r="G17" s="413"/>
      <c r="H17" s="413"/>
      <c r="I17" s="412"/>
      <c r="J17" s="412"/>
      <c r="K17" s="412"/>
      <c r="L17" s="412"/>
      <c r="M17" s="412"/>
    </row>
    <row r="18" spans="1:13" ht="15">
      <c r="A18" s="409" t="s">
        <v>11</v>
      </c>
      <c r="B18" s="412"/>
      <c r="C18" s="412"/>
      <c r="D18" s="412"/>
      <c r="E18" s="412">
        <v>138</v>
      </c>
      <c r="F18" s="413"/>
      <c r="G18" s="413"/>
      <c r="H18" s="413"/>
      <c r="I18" s="412"/>
      <c r="J18" s="412"/>
      <c r="K18" s="412"/>
      <c r="L18" s="412"/>
      <c r="M18" s="412"/>
    </row>
    <row r="19" spans="1:13" ht="15">
      <c r="A19" s="409" t="s">
        <v>12</v>
      </c>
      <c r="B19" s="412"/>
      <c r="C19" s="412"/>
      <c r="D19" s="412"/>
      <c r="E19" s="412">
        <v>85</v>
      </c>
      <c r="F19" s="413"/>
      <c r="G19" s="413"/>
      <c r="H19" s="413"/>
      <c r="I19" s="412"/>
      <c r="J19" s="412"/>
      <c r="K19" s="412"/>
      <c r="L19" s="412"/>
      <c r="M19" s="412"/>
    </row>
    <row r="20" spans="1:13" ht="15">
      <c r="A20" s="409" t="s">
        <v>13</v>
      </c>
      <c r="B20" s="412"/>
      <c r="C20" s="412"/>
      <c r="D20" s="412"/>
      <c r="E20" s="412">
        <v>80</v>
      </c>
      <c r="F20" s="413"/>
      <c r="G20" s="413"/>
      <c r="H20" s="413"/>
      <c r="I20" s="412"/>
      <c r="J20" s="412"/>
      <c r="K20" s="412"/>
      <c r="L20" s="412"/>
      <c r="M20" s="412"/>
    </row>
    <row r="23" spans="1:13" ht="15">
      <c r="A23" s="409" t="s">
        <v>239</v>
      </c>
      <c r="B23" s="409"/>
      <c r="C23" s="409"/>
    </row>
    <row r="24" spans="1:13" ht="15">
      <c r="A24" s="430"/>
      <c r="B24" s="430"/>
      <c r="C24" s="430" t="s">
        <v>242</v>
      </c>
      <c r="D24" s="430" t="s">
        <v>3</v>
      </c>
      <c r="E24" s="430" t="s">
        <v>4</v>
      </c>
      <c r="F24" s="430" t="s">
        <v>15</v>
      </c>
      <c r="G24" s="430" t="s">
        <v>5</v>
      </c>
      <c r="H24" s="430" t="s">
        <v>236</v>
      </c>
      <c r="I24" s="430" t="s">
        <v>7</v>
      </c>
      <c r="J24" s="430" t="s">
        <v>8</v>
      </c>
      <c r="K24" s="430" t="s">
        <v>9</v>
      </c>
    </row>
    <row r="25" spans="1:13" ht="15">
      <c r="A25" s="429" t="s">
        <v>229</v>
      </c>
      <c r="B25" s="429" t="s">
        <v>240</v>
      </c>
      <c r="C25" s="429" t="s">
        <v>241</v>
      </c>
      <c r="D25" s="428"/>
      <c r="E25" s="428"/>
      <c r="F25" s="428"/>
      <c r="G25" s="428"/>
      <c r="H25" s="428"/>
      <c r="I25" s="428"/>
      <c r="J25" s="428"/>
      <c r="K25" s="428"/>
    </row>
    <row r="26" spans="1:13" ht="15">
      <c r="A26" s="429">
        <v>100</v>
      </c>
      <c r="B26" s="429">
        <v>25</v>
      </c>
      <c r="C26" s="429">
        <v>154</v>
      </c>
      <c r="D26" s="428"/>
      <c r="E26" s="428"/>
      <c r="F26" s="428"/>
      <c r="G26" s="428"/>
      <c r="H26" s="428"/>
      <c r="I26" s="428"/>
      <c r="J26" s="428"/>
      <c r="K26" s="428"/>
    </row>
    <row r="27" spans="1:13" ht="15">
      <c r="A27" s="429">
        <v>300</v>
      </c>
      <c r="B27" s="429">
        <v>25</v>
      </c>
      <c r="C27" s="429">
        <v>461</v>
      </c>
      <c r="D27" s="428"/>
      <c r="E27" s="428"/>
      <c r="F27" s="428"/>
      <c r="G27" s="428"/>
      <c r="H27" s="428"/>
      <c r="I27" s="428"/>
      <c r="J27" s="428"/>
      <c r="K27" s="428"/>
    </row>
    <row r="28" spans="1:13" ht="15">
      <c r="A28" s="429">
        <v>1000</v>
      </c>
      <c r="B28" s="429">
        <v>25</v>
      </c>
      <c r="C28" s="429">
        <v>1537</v>
      </c>
      <c r="D28" s="428"/>
      <c r="E28" s="428"/>
      <c r="F28" s="428"/>
      <c r="G28" s="428"/>
      <c r="H28" s="428"/>
      <c r="I28" s="428"/>
      <c r="J28" s="428"/>
      <c r="K28" s="428"/>
    </row>
    <row r="29" spans="1:13" ht="15">
      <c r="A29" s="429">
        <v>1800</v>
      </c>
      <c r="B29" s="429">
        <v>25</v>
      </c>
      <c r="C29" s="429">
        <v>2337</v>
      </c>
      <c r="D29" s="428"/>
      <c r="E29" s="428"/>
      <c r="F29" s="428"/>
      <c r="G29" s="428"/>
      <c r="H29" s="428"/>
      <c r="I29" s="428"/>
      <c r="J29" s="428"/>
      <c r="K29" s="428"/>
    </row>
  </sheetData>
  <phoneticPr fontId="36" type="noConversion"/>
  <pageMargins left="0.75" right="0.75" top="1" bottom="1" header="0" footer="0"/>
  <pageSetup paperSize="9" scale="56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N16"/>
  <sheetViews>
    <sheetView workbookViewId="0">
      <selection activeCell="G7" sqref="G7"/>
    </sheetView>
  </sheetViews>
  <sheetFormatPr baseColWidth="10" defaultRowHeight="12.75"/>
  <cols>
    <col min="1" max="1" width="21.42578125" customWidth="1"/>
    <col min="2" max="2" width="18.85546875" customWidth="1"/>
    <col min="3" max="14" width="9.7109375" customWidth="1"/>
  </cols>
  <sheetData>
    <row r="2" spans="1:14" ht="15.75">
      <c r="B2" s="440" t="s">
        <v>243</v>
      </c>
      <c r="C2" s="440"/>
      <c r="D2" s="440"/>
    </row>
    <row r="3" spans="1:14">
      <c r="B3" s="11"/>
      <c r="C3" s="11"/>
      <c r="D3" s="11"/>
    </row>
    <row r="6" spans="1:14" ht="24" customHeight="1">
      <c r="A6" s="691" t="s">
        <v>244</v>
      </c>
      <c r="B6" s="692"/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</row>
    <row r="7" spans="1:14" ht="16.5" thickBot="1">
      <c r="A7" s="9"/>
      <c r="B7" s="9"/>
      <c r="C7" s="9"/>
      <c r="D7" s="10"/>
      <c r="E7" s="10"/>
      <c r="F7" s="10"/>
      <c r="G7" s="131"/>
    </row>
    <row r="8" spans="1:14" ht="16.5" thickBot="1">
      <c r="A8" s="324" t="s">
        <v>92</v>
      </c>
      <c r="B8" s="431" t="s">
        <v>93</v>
      </c>
      <c r="C8" s="437" t="s">
        <v>14</v>
      </c>
      <c r="D8" s="438" t="s">
        <v>0</v>
      </c>
      <c r="E8" s="438" t="s">
        <v>1</v>
      </c>
      <c r="F8" s="438" t="s">
        <v>2</v>
      </c>
      <c r="G8" s="439" t="s">
        <v>3</v>
      </c>
      <c r="H8" s="438" t="s">
        <v>4</v>
      </c>
      <c r="I8" s="438" t="s">
        <v>15</v>
      </c>
      <c r="J8" s="438" t="s">
        <v>5</v>
      </c>
      <c r="K8" s="438" t="s">
        <v>236</v>
      </c>
      <c r="L8" s="438" t="s">
        <v>7</v>
      </c>
      <c r="M8" s="438" t="s">
        <v>8</v>
      </c>
      <c r="N8" s="438" t="s">
        <v>9</v>
      </c>
    </row>
    <row r="9" spans="1:14" ht="15.75">
      <c r="A9" s="325" t="s">
        <v>94</v>
      </c>
      <c r="B9" s="432" t="s">
        <v>95</v>
      </c>
      <c r="C9" s="291"/>
      <c r="D9" s="292"/>
      <c r="E9" s="435"/>
      <c r="F9" s="436">
        <v>37</v>
      </c>
      <c r="G9" s="435"/>
      <c r="H9" s="435"/>
      <c r="I9" s="435"/>
      <c r="J9" s="435"/>
      <c r="K9" s="435"/>
      <c r="L9" s="435"/>
      <c r="M9" s="435"/>
      <c r="N9" s="435"/>
    </row>
    <row r="10" spans="1:14" ht="15.75" hidden="1">
      <c r="A10" s="25" t="s">
        <v>94</v>
      </c>
      <c r="B10" s="433" t="s">
        <v>206</v>
      </c>
      <c r="C10" s="291"/>
      <c r="D10" s="292"/>
      <c r="E10" s="435"/>
      <c r="F10" s="436"/>
      <c r="G10" s="435"/>
      <c r="H10" s="435"/>
      <c r="I10" s="435"/>
      <c r="J10" s="435"/>
      <c r="K10" s="435"/>
      <c r="L10" s="435"/>
      <c r="M10" s="435"/>
      <c r="N10" s="435"/>
    </row>
    <row r="11" spans="1:14" ht="15.75">
      <c r="A11" s="25" t="s">
        <v>94</v>
      </c>
      <c r="B11" s="433" t="s">
        <v>96</v>
      </c>
      <c r="C11" s="291"/>
      <c r="D11" s="292"/>
      <c r="E11" s="436"/>
      <c r="F11" s="436">
        <v>52</v>
      </c>
      <c r="G11" s="435"/>
      <c r="H11" s="435"/>
      <c r="I11" s="435"/>
      <c r="J11" s="435"/>
      <c r="K11" s="435"/>
      <c r="L11" s="435"/>
      <c r="M11" s="435"/>
      <c r="N11" s="435"/>
    </row>
    <row r="12" spans="1:14" ht="16.5" thickBot="1">
      <c r="A12" s="26" t="s">
        <v>94</v>
      </c>
      <c r="B12" s="434" t="s">
        <v>206</v>
      </c>
      <c r="C12" s="291"/>
      <c r="D12" s="292"/>
      <c r="E12" s="435"/>
      <c r="F12" s="436">
        <v>52</v>
      </c>
      <c r="G12" s="435"/>
      <c r="H12" s="435"/>
      <c r="I12" s="435"/>
      <c r="J12" s="435"/>
      <c r="K12" s="435"/>
      <c r="L12" s="435"/>
      <c r="M12" s="435"/>
      <c r="N12" s="435"/>
    </row>
    <row r="16" spans="1:14">
      <c r="E16" t="s">
        <v>87</v>
      </c>
    </row>
  </sheetData>
  <mergeCells count="1">
    <mergeCell ref="A6:N6"/>
  </mergeCells>
  <phoneticPr fontId="36" type="noConversion"/>
  <pageMargins left="0.75" right="0.75" top="1" bottom="1" header="0" footer="0"/>
  <pageSetup scale="78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7"/>
  <dimension ref="A2:I18"/>
  <sheetViews>
    <sheetView workbookViewId="0">
      <selection activeCell="G7" sqref="G7"/>
    </sheetView>
  </sheetViews>
  <sheetFormatPr baseColWidth="10" defaultRowHeight="12.75"/>
  <cols>
    <col min="2" max="2" width="14.85546875" customWidth="1"/>
    <col min="3" max="3" width="15.85546875" customWidth="1"/>
    <col min="4" max="4" width="14.85546875" customWidth="1"/>
    <col min="6" max="9" width="15.7109375" customWidth="1"/>
  </cols>
  <sheetData>
    <row r="2" spans="1:9" ht="18" customHeight="1">
      <c r="A2" s="11">
        <v>2008</v>
      </c>
    </row>
    <row r="3" spans="1:9" s="41" customFormat="1" ht="18" customHeight="1">
      <c r="A3" s="406" t="s">
        <v>107</v>
      </c>
      <c r="B3" s="407"/>
      <c r="C3" s="407"/>
      <c r="D3" s="407"/>
      <c r="F3" s="406" t="s">
        <v>108</v>
      </c>
      <c r="G3" s="407"/>
      <c r="H3" s="407"/>
      <c r="I3" s="407"/>
    </row>
    <row r="4" spans="1:9" ht="18" customHeight="1">
      <c r="A4" s="349"/>
      <c r="B4" s="349"/>
      <c r="C4" s="349"/>
      <c r="D4" s="349"/>
      <c r="F4" s="349"/>
      <c r="G4" s="349"/>
      <c r="H4" s="349"/>
      <c r="I4" s="349"/>
    </row>
    <row r="5" spans="1:9" ht="18" customHeight="1">
      <c r="A5" s="349"/>
      <c r="B5" s="405"/>
      <c r="C5" s="405"/>
      <c r="D5" s="405"/>
      <c r="E5" s="40"/>
      <c r="F5" s="349"/>
      <c r="G5" s="405"/>
      <c r="H5" s="405"/>
      <c r="I5" s="405"/>
    </row>
    <row r="6" spans="1:9" ht="18" customHeight="1">
      <c r="A6" s="349"/>
      <c r="B6" s="42" t="s">
        <v>104</v>
      </c>
      <c r="C6" s="42" t="s">
        <v>105</v>
      </c>
      <c r="D6" s="42" t="s">
        <v>106</v>
      </c>
      <c r="E6" s="40"/>
      <c r="F6" s="349"/>
      <c r="G6" s="42" t="s">
        <v>104</v>
      </c>
      <c r="H6" s="42" t="s">
        <v>105</v>
      </c>
      <c r="I6" s="42" t="s">
        <v>106</v>
      </c>
    </row>
    <row r="7" spans="1:9" ht="18" customHeight="1">
      <c r="A7" s="404">
        <v>1</v>
      </c>
      <c r="B7" s="43"/>
      <c r="C7" s="43"/>
      <c r="D7" s="43"/>
      <c r="E7" s="40"/>
      <c r="F7" s="404">
        <v>1</v>
      </c>
      <c r="G7" s="43"/>
      <c r="H7" s="43"/>
      <c r="I7" s="43"/>
    </row>
    <row r="8" spans="1:9" ht="18" customHeight="1">
      <c r="A8" s="404">
        <v>2</v>
      </c>
      <c r="B8" s="43"/>
      <c r="C8" s="43"/>
      <c r="D8" s="43"/>
      <c r="E8" s="40"/>
      <c r="F8" s="404">
        <v>2</v>
      </c>
      <c r="G8" s="43"/>
      <c r="H8" s="43"/>
      <c r="I8" s="43"/>
    </row>
    <row r="9" spans="1:9" ht="18" customHeight="1">
      <c r="A9" s="404">
        <v>3</v>
      </c>
      <c r="B9" s="43"/>
      <c r="C9" s="43"/>
      <c r="D9" s="43"/>
      <c r="E9" s="40"/>
      <c r="F9" s="404">
        <v>3</v>
      </c>
      <c r="G9" s="43"/>
      <c r="H9" s="43"/>
      <c r="I9" s="43"/>
    </row>
    <row r="10" spans="1:9" ht="18" customHeight="1">
      <c r="A10" s="404">
        <v>4</v>
      </c>
      <c r="B10" s="43"/>
      <c r="C10" s="43"/>
      <c r="D10" s="43"/>
      <c r="E10" s="40"/>
      <c r="F10" s="404">
        <v>4</v>
      </c>
      <c r="G10" s="43"/>
      <c r="H10" s="43"/>
      <c r="I10" s="43"/>
    </row>
    <row r="11" spans="1:9" ht="18" customHeight="1">
      <c r="A11" s="404">
        <v>5</v>
      </c>
      <c r="B11" s="43"/>
      <c r="C11" s="43"/>
      <c r="D11" s="43"/>
      <c r="E11" s="40"/>
      <c r="F11" s="404">
        <v>5</v>
      </c>
      <c r="G11" s="43"/>
      <c r="H11" s="43"/>
      <c r="I11" s="43"/>
    </row>
    <row r="12" spans="1:9" ht="18" customHeight="1">
      <c r="A12" s="404">
        <v>6</v>
      </c>
      <c r="B12" s="43"/>
      <c r="C12" s="43"/>
      <c r="D12" s="43"/>
      <c r="E12" s="40"/>
      <c r="F12" s="404">
        <v>6</v>
      </c>
      <c r="G12" s="43"/>
      <c r="H12" s="43"/>
      <c r="I12" s="43"/>
    </row>
    <row r="13" spans="1:9" ht="18" customHeight="1">
      <c r="A13" s="404">
        <v>7</v>
      </c>
      <c r="B13" s="43"/>
      <c r="C13" s="43"/>
      <c r="D13" s="43"/>
      <c r="E13" s="40"/>
      <c r="F13" s="404">
        <v>7</v>
      </c>
      <c r="G13" s="43"/>
      <c r="H13" s="43"/>
      <c r="I13" s="43"/>
    </row>
    <row r="14" spans="1:9" ht="18" customHeight="1">
      <c r="A14" s="404">
        <v>8</v>
      </c>
      <c r="B14" s="43"/>
      <c r="C14" s="43"/>
      <c r="D14" s="43"/>
      <c r="E14" s="40"/>
      <c r="F14" s="404">
        <v>8</v>
      </c>
      <c r="G14" s="43"/>
      <c r="H14" s="43"/>
      <c r="I14" s="43"/>
    </row>
    <row r="15" spans="1:9" ht="18" customHeight="1">
      <c r="A15" s="404">
        <v>9</v>
      </c>
      <c r="B15" s="43"/>
      <c r="C15" s="43"/>
      <c r="D15" s="43"/>
      <c r="E15" s="40"/>
      <c r="F15" s="404">
        <v>9</v>
      </c>
      <c r="G15" s="43"/>
      <c r="H15" s="43"/>
      <c r="I15" s="43"/>
    </row>
    <row r="16" spans="1:9" ht="18" customHeight="1">
      <c r="A16" s="404">
        <v>10</v>
      </c>
      <c r="B16" s="43"/>
      <c r="C16" s="43"/>
      <c r="D16" s="43"/>
      <c r="F16" s="404">
        <v>10</v>
      </c>
      <c r="G16" s="43"/>
      <c r="H16" s="43"/>
      <c r="I16" s="43"/>
    </row>
    <row r="17" spans="1:9" ht="18" customHeight="1">
      <c r="A17" s="404">
        <v>11</v>
      </c>
      <c r="B17" s="349"/>
      <c r="C17" s="349"/>
      <c r="D17" s="349"/>
      <c r="F17" s="404">
        <v>11</v>
      </c>
      <c r="G17" s="349"/>
      <c r="H17" s="349"/>
      <c r="I17" s="349"/>
    </row>
    <row r="18" spans="1:9" ht="18.75" customHeight="1">
      <c r="A18" s="404">
        <v>12</v>
      </c>
      <c r="B18" s="349"/>
      <c r="C18" s="349"/>
      <c r="D18" s="349"/>
      <c r="F18" s="404">
        <v>12</v>
      </c>
      <c r="G18" s="349"/>
      <c r="H18" s="349"/>
      <c r="I18" s="349"/>
    </row>
  </sheetData>
  <phoneticPr fontId="36" type="noConversion"/>
  <pageMargins left="0.75" right="0.75" top="1" bottom="1" header="0" footer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42"/>
  </sheetPr>
  <dimension ref="A1:H25"/>
  <sheetViews>
    <sheetView workbookViewId="0">
      <selection activeCell="H5" sqref="H5:H17"/>
    </sheetView>
  </sheetViews>
  <sheetFormatPr baseColWidth="10" defaultRowHeight="12.75"/>
  <cols>
    <col min="1" max="1" width="19.42578125" customWidth="1"/>
    <col min="2" max="2" width="9.28515625" customWidth="1"/>
  </cols>
  <sheetData>
    <row r="1" spans="1:8">
      <c r="A1" s="130" t="s">
        <v>238</v>
      </c>
    </row>
    <row r="3" spans="1:8">
      <c r="A3" s="352"/>
      <c r="B3" s="352"/>
      <c r="C3" s="353">
        <v>39471</v>
      </c>
      <c r="D3" s="365">
        <v>39478</v>
      </c>
      <c r="E3" s="365">
        <v>39594</v>
      </c>
      <c r="F3" s="513">
        <v>39876</v>
      </c>
      <c r="G3" s="513">
        <v>40030</v>
      </c>
      <c r="H3" s="513">
        <v>40093</v>
      </c>
    </row>
    <row r="4" spans="1:8" ht="13.5" thickBot="1">
      <c r="A4" s="354"/>
      <c r="B4" s="359" t="s">
        <v>229</v>
      </c>
      <c r="C4" s="355">
        <v>3</v>
      </c>
      <c r="D4" s="354">
        <v>3.63</v>
      </c>
      <c r="E4" s="354">
        <v>4</v>
      </c>
      <c r="F4" s="354">
        <v>3</v>
      </c>
      <c r="G4" s="354">
        <v>4.4000000000000004</v>
      </c>
      <c r="H4" s="354">
        <v>4.2</v>
      </c>
    </row>
    <row r="5" spans="1:8" ht="13.5" thickBot="1">
      <c r="A5" s="350" t="s">
        <v>217</v>
      </c>
      <c r="B5" s="356">
        <v>710</v>
      </c>
      <c r="C5" s="369">
        <f>B5*C4</f>
        <v>2130</v>
      </c>
      <c r="D5" s="372">
        <f>B5*3.63</f>
        <v>2577.2999999999997</v>
      </c>
      <c r="E5" s="445">
        <v>2840</v>
      </c>
      <c r="F5" s="356">
        <f>B5*F4</f>
        <v>2130</v>
      </c>
      <c r="G5" s="540">
        <f>B5*G4</f>
        <v>3124.0000000000005</v>
      </c>
      <c r="H5" s="540">
        <f>B5*H4</f>
        <v>2982</v>
      </c>
    </row>
    <row r="6" spans="1:8">
      <c r="A6" s="31" t="s">
        <v>218</v>
      </c>
      <c r="B6" s="357">
        <v>1168</v>
      </c>
      <c r="C6" s="370">
        <f>+B6*C4</f>
        <v>3504</v>
      </c>
      <c r="D6" s="373">
        <f t="shared" ref="D6:D17" si="0">B6*3.63</f>
        <v>4239.84</v>
      </c>
      <c r="E6" s="446">
        <v>4672</v>
      </c>
      <c r="F6" s="357">
        <f>B6*F4</f>
        <v>3504</v>
      </c>
      <c r="G6" s="541">
        <f>B6*G4</f>
        <v>5139.2000000000007</v>
      </c>
      <c r="H6" s="540">
        <f>B6*H4</f>
        <v>4905.6000000000004</v>
      </c>
    </row>
    <row r="7" spans="1:8">
      <c r="A7" s="31" t="s">
        <v>219</v>
      </c>
      <c r="B7" s="357">
        <v>1000</v>
      </c>
      <c r="C7" s="370">
        <f>+B7*C4</f>
        <v>3000</v>
      </c>
      <c r="D7" s="373">
        <f t="shared" si="0"/>
        <v>3630</v>
      </c>
      <c r="E7" s="446">
        <v>4000</v>
      </c>
      <c r="F7" s="357">
        <f>B7*F4</f>
        <v>3000</v>
      </c>
      <c r="G7" s="541">
        <f>B7*G4</f>
        <v>4400</v>
      </c>
      <c r="H7" s="541">
        <f>B7*H4</f>
        <v>4200</v>
      </c>
    </row>
    <row r="8" spans="1:8">
      <c r="A8" s="31" t="s">
        <v>220</v>
      </c>
      <c r="B8" s="357">
        <v>1074</v>
      </c>
      <c r="C8" s="370">
        <f>+B8*C4</f>
        <v>3222</v>
      </c>
      <c r="D8" s="373">
        <f t="shared" si="0"/>
        <v>3898.62</v>
      </c>
      <c r="E8" s="446">
        <v>4296</v>
      </c>
      <c r="F8" s="357">
        <f>B8*F4</f>
        <v>3222</v>
      </c>
      <c r="G8" s="541">
        <f>B8*G4</f>
        <v>4725.6000000000004</v>
      </c>
      <c r="H8" s="541">
        <f>B8*H4</f>
        <v>4510.8</v>
      </c>
    </row>
    <row r="9" spans="1:8">
      <c r="A9" s="31" t="s">
        <v>221</v>
      </c>
      <c r="B9" s="357">
        <v>1654</v>
      </c>
      <c r="C9" s="370">
        <f>+B9*C4</f>
        <v>4962</v>
      </c>
      <c r="D9" s="373">
        <f t="shared" si="0"/>
        <v>6004.0199999999995</v>
      </c>
      <c r="E9" s="446">
        <v>6616</v>
      </c>
      <c r="F9" s="357">
        <f>B9*F4</f>
        <v>4962</v>
      </c>
      <c r="G9" s="541">
        <f>B9*G4</f>
        <v>7277.6</v>
      </c>
      <c r="H9" s="541">
        <f>B9*H4</f>
        <v>6946.8</v>
      </c>
    </row>
    <row r="10" spans="1:8">
      <c r="A10" s="31" t="s">
        <v>222</v>
      </c>
      <c r="B10" s="357">
        <v>1089</v>
      </c>
      <c r="C10" s="370">
        <f>+B10*C4</f>
        <v>3267</v>
      </c>
      <c r="D10" s="373">
        <f t="shared" si="0"/>
        <v>3953.0699999999997</v>
      </c>
      <c r="E10" s="446">
        <v>4356</v>
      </c>
      <c r="F10" s="357">
        <f>B10*F4</f>
        <v>3267</v>
      </c>
      <c r="G10" s="541">
        <f>B10*G4</f>
        <v>4791.6000000000004</v>
      </c>
      <c r="H10" s="541">
        <f>+B10*H4</f>
        <v>4573.8</v>
      </c>
    </row>
    <row r="11" spans="1:8">
      <c r="A11" s="31" t="s">
        <v>116</v>
      </c>
      <c r="B11" s="357">
        <v>335</v>
      </c>
      <c r="C11" s="370">
        <f>+B11*C4</f>
        <v>1005</v>
      </c>
      <c r="D11" s="373">
        <f t="shared" si="0"/>
        <v>1216.05</v>
      </c>
      <c r="E11" s="446">
        <v>1340</v>
      </c>
      <c r="F11" s="357">
        <f>B11*F4</f>
        <v>1005</v>
      </c>
      <c r="G11" s="541">
        <f>B11*G4</f>
        <v>1474.0000000000002</v>
      </c>
      <c r="H11" s="541">
        <f>C11*H4</f>
        <v>4221</v>
      </c>
    </row>
    <row r="12" spans="1:8">
      <c r="A12" s="31" t="s">
        <v>223</v>
      </c>
      <c r="B12" s="357">
        <v>686</v>
      </c>
      <c r="C12" s="370">
        <f>+B12*C4</f>
        <v>2058</v>
      </c>
      <c r="D12" s="373">
        <f t="shared" si="0"/>
        <v>2490.1799999999998</v>
      </c>
      <c r="E12" s="446">
        <v>2744</v>
      </c>
      <c r="F12" s="357">
        <f>B12*F4</f>
        <v>2058</v>
      </c>
      <c r="G12" s="541">
        <f>B12*G4</f>
        <v>3018.4</v>
      </c>
      <c r="H12" s="541">
        <f>B12*H4</f>
        <v>2881.2000000000003</v>
      </c>
    </row>
    <row r="13" spans="1:8">
      <c r="A13" s="31" t="s">
        <v>224</v>
      </c>
      <c r="B13" s="357">
        <v>1627</v>
      </c>
      <c r="C13" s="370">
        <f>+B13*C4</f>
        <v>4881</v>
      </c>
      <c r="D13" s="373">
        <f t="shared" si="0"/>
        <v>5906.01</v>
      </c>
      <c r="E13" s="446">
        <v>6508</v>
      </c>
      <c r="F13" s="357">
        <f>B13*F4</f>
        <v>4881</v>
      </c>
      <c r="G13" s="541">
        <f>B13*G4</f>
        <v>7158.8</v>
      </c>
      <c r="H13" s="541">
        <f>+B13*H4</f>
        <v>6833.4000000000005</v>
      </c>
    </row>
    <row r="14" spans="1:8">
      <c r="A14" s="31" t="s">
        <v>225</v>
      </c>
      <c r="B14" s="357">
        <v>408</v>
      </c>
      <c r="C14" s="370">
        <f>+B14*C4</f>
        <v>1224</v>
      </c>
      <c r="D14" s="373">
        <f t="shared" si="0"/>
        <v>1481.04</v>
      </c>
      <c r="E14" s="446">
        <v>1632</v>
      </c>
      <c r="F14" s="357">
        <f>B14*F4</f>
        <v>1224</v>
      </c>
      <c r="G14" s="541">
        <f>B14*G4</f>
        <v>1795.2</v>
      </c>
      <c r="H14" s="541">
        <f>+B14*H4</f>
        <v>1713.6000000000001</v>
      </c>
    </row>
    <row r="15" spans="1:8">
      <c r="A15" s="31" t="s">
        <v>226</v>
      </c>
      <c r="B15" s="357">
        <v>1436</v>
      </c>
      <c r="C15" s="370">
        <f>+B15*C4</f>
        <v>4308</v>
      </c>
      <c r="D15" s="373">
        <f t="shared" si="0"/>
        <v>5212.68</v>
      </c>
      <c r="E15" s="446">
        <v>5744</v>
      </c>
      <c r="F15" s="357">
        <f>B15*F4</f>
        <v>4308</v>
      </c>
      <c r="G15" s="541">
        <f>B15*G4</f>
        <v>6318.4000000000005</v>
      </c>
      <c r="H15" s="541">
        <f>+B15*H4</f>
        <v>6031.2</v>
      </c>
    </row>
    <row r="16" spans="1:8">
      <c r="A16" s="31" t="s">
        <v>227</v>
      </c>
      <c r="B16" s="357">
        <v>1400</v>
      </c>
      <c r="C16" s="370">
        <f>+B16*C4</f>
        <v>4200</v>
      </c>
      <c r="D16" s="373">
        <f t="shared" si="0"/>
        <v>5082</v>
      </c>
      <c r="E16" s="446">
        <v>5600</v>
      </c>
      <c r="F16" s="357">
        <f>B16*F4</f>
        <v>4200</v>
      </c>
      <c r="G16" s="541">
        <f>+B16*G4</f>
        <v>6160.0000000000009</v>
      </c>
      <c r="H16" s="541">
        <f>+B16*H4</f>
        <v>5880</v>
      </c>
    </row>
    <row r="17" spans="1:8" ht="13.5" thickBot="1">
      <c r="A17" s="351" t="s">
        <v>228</v>
      </c>
      <c r="B17" s="358">
        <v>1000</v>
      </c>
      <c r="C17" s="371">
        <f>+B17*C4</f>
        <v>3000</v>
      </c>
      <c r="D17" s="374">
        <f t="shared" si="0"/>
        <v>3630</v>
      </c>
      <c r="E17" s="447">
        <v>4000</v>
      </c>
      <c r="F17" s="358">
        <f>B17*F4</f>
        <v>3000</v>
      </c>
      <c r="G17" s="542">
        <f>B17*G4</f>
        <v>4400</v>
      </c>
      <c r="H17" s="542">
        <f>+B17*H4</f>
        <v>4200</v>
      </c>
    </row>
    <row r="20" spans="1:8">
      <c r="C20" s="360"/>
    </row>
    <row r="21" spans="1:8">
      <c r="C21" s="360"/>
    </row>
    <row r="22" spans="1:8">
      <c r="C22" s="360"/>
    </row>
    <row r="23" spans="1:8">
      <c r="C23" s="360"/>
    </row>
    <row r="24" spans="1:8">
      <c r="C24" s="360"/>
    </row>
    <row r="25" spans="1:8">
      <c r="C25" s="360"/>
    </row>
  </sheetData>
  <phoneticPr fontId="36" type="noConversion"/>
  <pageMargins left="0.75" right="0.75" top="1" bottom="1" header="0" footer="0"/>
  <pageSetup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35"/>
  <sheetViews>
    <sheetView topLeftCell="A4" zoomScale="75" workbookViewId="0">
      <selection activeCell="D13" sqref="D13"/>
    </sheetView>
  </sheetViews>
  <sheetFormatPr baseColWidth="10" defaultRowHeight="12.75"/>
  <cols>
    <col min="1" max="1" width="20.7109375" customWidth="1"/>
    <col min="2" max="2" width="14" customWidth="1"/>
  </cols>
  <sheetData>
    <row r="1" spans="1:12" ht="15">
      <c r="A1" s="693"/>
      <c r="B1" s="693"/>
      <c r="C1" s="693"/>
      <c r="D1" s="693"/>
      <c r="E1" s="693"/>
    </row>
    <row r="2" spans="1:12" ht="15">
      <c r="A2" s="123"/>
      <c r="B2" s="123"/>
      <c r="C2" s="122"/>
      <c r="D2" s="122"/>
      <c r="E2" s="122"/>
    </row>
    <row r="3" spans="1:12" ht="15.75">
      <c r="A3" s="693" t="s">
        <v>234</v>
      </c>
      <c r="B3" s="693"/>
      <c r="C3" s="127" t="s">
        <v>237</v>
      </c>
      <c r="D3" s="127"/>
      <c r="E3" s="127"/>
      <c r="F3" s="11"/>
      <c r="G3" s="11"/>
      <c r="H3" s="11"/>
      <c r="I3" s="11"/>
    </row>
    <row r="4" spans="1:12" ht="15.75">
      <c r="A4" s="123"/>
      <c r="B4" s="123"/>
      <c r="C4" s="127"/>
      <c r="D4" s="127"/>
      <c r="E4" s="127"/>
      <c r="F4" s="11"/>
      <c r="G4" s="11"/>
      <c r="H4" s="11"/>
      <c r="I4" s="11"/>
    </row>
    <row r="5" spans="1:12" ht="16.5" thickBot="1">
      <c r="A5" s="415"/>
      <c r="B5" s="159"/>
      <c r="C5" s="122"/>
      <c r="D5" s="122"/>
      <c r="E5" s="122"/>
    </row>
    <row r="6" spans="1:12" ht="16.5" thickBot="1">
      <c r="A6" s="416" t="s">
        <v>93</v>
      </c>
      <c r="B6" s="416" t="s">
        <v>122</v>
      </c>
      <c r="C6" s="125"/>
      <c r="D6" s="122"/>
      <c r="E6" s="122"/>
    </row>
    <row r="7" spans="1:12" ht="16.5" thickBot="1">
      <c r="A7" s="420"/>
      <c r="B7" s="421" t="s">
        <v>0</v>
      </c>
      <c r="C7" s="425" t="s">
        <v>235</v>
      </c>
      <c r="D7" s="426" t="s">
        <v>2</v>
      </c>
      <c r="E7" s="426" t="s">
        <v>3</v>
      </c>
      <c r="F7" s="349" t="s">
        <v>4</v>
      </c>
      <c r="G7" s="349" t="s">
        <v>15</v>
      </c>
      <c r="H7" s="349" t="s">
        <v>5</v>
      </c>
      <c r="I7" s="349" t="s">
        <v>236</v>
      </c>
      <c r="J7" s="349" t="s">
        <v>7</v>
      </c>
      <c r="K7" s="349" t="s">
        <v>8</v>
      </c>
      <c r="L7" s="349" t="s">
        <v>9</v>
      </c>
    </row>
    <row r="8" spans="1:12" ht="18">
      <c r="A8" s="144" t="s">
        <v>123</v>
      </c>
      <c r="B8" s="422">
        <v>3.75</v>
      </c>
      <c r="C8" s="427"/>
      <c r="D8" s="426"/>
      <c r="E8" s="426"/>
      <c r="F8" s="349"/>
      <c r="H8" s="231">
        <v>3.99</v>
      </c>
      <c r="I8" s="349"/>
      <c r="J8" s="349"/>
      <c r="K8" s="349"/>
      <c r="L8" s="349"/>
    </row>
    <row r="9" spans="1:12" ht="18">
      <c r="A9" s="147" t="s">
        <v>124</v>
      </c>
      <c r="B9" s="423">
        <v>1.75</v>
      </c>
      <c r="C9" s="427"/>
      <c r="D9" s="426"/>
      <c r="E9" s="426"/>
      <c r="F9" s="349"/>
      <c r="H9" s="232">
        <v>1.9</v>
      </c>
      <c r="I9" s="349"/>
      <c r="J9" s="349"/>
      <c r="K9" s="349"/>
      <c r="L9" s="349"/>
    </row>
    <row r="10" spans="1:12" ht="18">
      <c r="A10" s="147" t="s">
        <v>125</v>
      </c>
      <c r="B10" s="423">
        <v>0.85</v>
      </c>
      <c r="C10" s="425"/>
      <c r="D10" s="426"/>
      <c r="E10" s="426"/>
      <c r="F10" s="349"/>
      <c r="H10" s="232">
        <v>0.9</v>
      </c>
      <c r="I10" s="349"/>
      <c r="J10" s="349"/>
      <c r="K10" s="349"/>
      <c r="L10" s="349"/>
    </row>
    <row r="11" spans="1:12" ht="18">
      <c r="A11" s="147" t="s">
        <v>126</v>
      </c>
      <c r="B11" s="423">
        <v>2.7</v>
      </c>
      <c r="C11" s="427"/>
      <c r="D11" s="426"/>
      <c r="E11" s="426"/>
      <c r="F11" s="349"/>
      <c r="H11" s="232">
        <v>2.9</v>
      </c>
      <c r="I11" s="349"/>
      <c r="J11" s="349"/>
      <c r="K11" s="349"/>
      <c r="L11" s="349"/>
    </row>
    <row r="12" spans="1:12" ht="18">
      <c r="A12" s="147" t="s">
        <v>75</v>
      </c>
      <c r="B12" s="423">
        <v>3.1</v>
      </c>
      <c r="C12" s="426"/>
      <c r="D12" s="426"/>
      <c r="E12" s="426"/>
      <c r="F12" s="349"/>
      <c r="H12" s="232">
        <v>3.7</v>
      </c>
      <c r="I12" s="349"/>
      <c r="J12" s="349"/>
      <c r="K12" s="349"/>
      <c r="L12" s="349"/>
    </row>
    <row r="13" spans="1:12" ht="18">
      <c r="A13" s="147" t="s">
        <v>127</v>
      </c>
      <c r="B13" s="423">
        <v>2.85</v>
      </c>
      <c r="C13" s="426"/>
      <c r="D13" s="426"/>
      <c r="E13" s="426"/>
      <c r="F13" s="349"/>
      <c r="H13" s="232">
        <v>3.45</v>
      </c>
      <c r="I13" s="349"/>
      <c r="J13" s="349"/>
      <c r="K13" s="349"/>
      <c r="L13" s="349"/>
    </row>
    <row r="14" spans="1:12" ht="18">
      <c r="A14" s="147" t="s">
        <v>76</v>
      </c>
      <c r="B14" s="423">
        <v>2.35</v>
      </c>
      <c r="C14" s="426"/>
      <c r="D14" s="426"/>
      <c r="E14" s="426"/>
      <c r="F14" s="349"/>
      <c r="H14" s="232">
        <v>2.75</v>
      </c>
      <c r="I14" s="349"/>
      <c r="J14" s="349"/>
      <c r="K14" s="349"/>
      <c r="L14" s="349"/>
    </row>
    <row r="15" spans="1:12" ht="18">
      <c r="A15" s="147" t="s">
        <v>128</v>
      </c>
      <c r="B15" s="423">
        <v>3.25</v>
      </c>
      <c r="C15" s="426"/>
      <c r="D15" s="426"/>
      <c r="E15" s="426"/>
      <c r="F15" s="349"/>
      <c r="H15" s="232">
        <v>3.85</v>
      </c>
      <c r="I15" s="349"/>
      <c r="J15" s="349"/>
      <c r="K15" s="349"/>
      <c r="L15" s="349"/>
    </row>
    <row r="16" spans="1:12" ht="18">
      <c r="A16" s="147" t="s">
        <v>129</v>
      </c>
      <c r="B16" s="423">
        <v>3.85</v>
      </c>
      <c r="C16" s="426"/>
      <c r="D16" s="426"/>
      <c r="E16" s="426"/>
      <c r="F16" s="349"/>
      <c r="H16" s="232">
        <v>4.05</v>
      </c>
      <c r="I16" s="349"/>
      <c r="J16" s="349"/>
      <c r="K16" s="349"/>
      <c r="L16" s="349"/>
    </row>
    <row r="17" spans="1:12" ht="18">
      <c r="A17" s="147" t="s">
        <v>100</v>
      </c>
      <c r="B17" s="423">
        <v>2.85</v>
      </c>
      <c r="C17" s="426"/>
      <c r="D17" s="426"/>
      <c r="E17" s="426"/>
      <c r="F17" s="349"/>
      <c r="H17" s="232">
        <v>3.05</v>
      </c>
      <c r="I17" s="349"/>
      <c r="J17" s="349"/>
      <c r="K17" s="349"/>
      <c r="L17" s="349"/>
    </row>
    <row r="18" spans="1:12" ht="18">
      <c r="A18" s="147" t="s">
        <v>130</v>
      </c>
      <c r="B18" s="423">
        <v>5.75</v>
      </c>
      <c r="C18" s="426"/>
      <c r="D18" s="426"/>
      <c r="E18" s="426"/>
      <c r="F18" s="349"/>
      <c r="H18" s="232">
        <v>5.9</v>
      </c>
      <c r="I18" s="349"/>
      <c r="J18" s="349"/>
      <c r="K18" s="349"/>
      <c r="L18" s="349"/>
    </row>
    <row r="19" spans="1:12" ht="18">
      <c r="A19" s="147" t="s">
        <v>131</v>
      </c>
      <c r="B19" s="423">
        <v>3.15</v>
      </c>
      <c r="C19" s="426"/>
      <c r="D19" s="426"/>
      <c r="E19" s="426"/>
      <c r="F19" s="349"/>
      <c r="H19" s="232">
        <v>3.75</v>
      </c>
      <c r="I19" s="349"/>
      <c r="J19" s="349"/>
      <c r="K19" s="349"/>
      <c r="L19" s="349"/>
    </row>
    <row r="20" spans="1:12" ht="18">
      <c r="A20" s="147" t="s">
        <v>85</v>
      </c>
      <c r="B20" s="423">
        <v>3</v>
      </c>
      <c r="C20" s="426"/>
      <c r="D20" s="426"/>
      <c r="E20" s="426"/>
      <c r="F20" s="349"/>
      <c r="H20" s="232">
        <v>4.0999999999999996</v>
      </c>
      <c r="I20" s="349"/>
      <c r="J20" s="349"/>
      <c r="K20" s="349"/>
      <c r="L20" s="349"/>
    </row>
    <row r="21" spans="1:12" ht="18">
      <c r="A21" s="147" t="s">
        <v>132</v>
      </c>
      <c r="B21" s="423">
        <v>2.95</v>
      </c>
      <c r="C21" s="426"/>
      <c r="D21" s="426"/>
      <c r="E21" s="426"/>
      <c r="F21" s="349"/>
      <c r="H21" s="232">
        <v>3.1</v>
      </c>
      <c r="I21" s="349"/>
      <c r="J21" s="349"/>
      <c r="K21" s="349"/>
      <c r="L21" s="349"/>
    </row>
    <row r="22" spans="1:12" ht="18">
      <c r="A22" s="147" t="s">
        <v>133</v>
      </c>
      <c r="B22" s="423">
        <v>2</v>
      </c>
      <c r="C22" s="426"/>
      <c r="D22" s="426"/>
      <c r="E22" s="426"/>
      <c r="F22" s="349"/>
      <c r="H22" s="232">
        <v>2.2000000000000002</v>
      </c>
      <c r="I22" s="349"/>
      <c r="J22" s="349"/>
      <c r="K22" s="349"/>
      <c r="L22" s="349"/>
    </row>
    <row r="23" spans="1:12" ht="18">
      <c r="A23" s="147" t="s">
        <v>134</v>
      </c>
      <c r="B23" s="423">
        <v>2.1</v>
      </c>
      <c r="C23" s="426"/>
      <c r="D23" s="426"/>
      <c r="E23" s="426"/>
      <c r="F23" s="349"/>
      <c r="H23" s="232">
        <v>2.2999999999999998</v>
      </c>
      <c r="I23" s="349"/>
      <c r="J23" s="349"/>
      <c r="K23" s="349"/>
      <c r="L23" s="349"/>
    </row>
    <row r="24" spans="1:12" ht="18">
      <c r="A24" s="147" t="s">
        <v>135</v>
      </c>
      <c r="B24" s="423">
        <v>2.2000000000000002</v>
      </c>
      <c r="C24" s="426"/>
      <c r="D24" s="426"/>
      <c r="E24" s="426"/>
      <c r="F24" s="349"/>
      <c r="H24" s="232">
        <v>2.7</v>
      </c>
      <c r="I24" s="349"/>
      <c r="J24" s="349"/>
      <c r="K24" s="349"/>
      <c r="L24" s="349"/>
    </row>
    <row r="25" spans="1:12" ht="18.75" thickBot="1">
      <c r="A25" s="138" t="s">
        <v>136</v>
      </c>
      <c r="B25" s="424">
        <v>3.25</v>
      </c>
      <c r="C25" s="426"/>
      <c r="D25" s="426"/>
      <c r="E25" s="426"/>
      <c r="F25" s="349"/>
      <c r="H25" s="233">
        <v>3.75</v>
      </c>
      <c r="I25" s="349"/>
      <c r="J25" s="349"/>
      <c r="K25" s="349"/>
      <c r="L25" s="349"/>
    </row>
    <row r="26" spans="1:12" ht="15.75">
      <c r="A26" s="124"/>
      <c r="B26" s="193"/>
      <c r="C26" s="123"/>
      <c r="D26" s="123"/>
      <c r="E26" s="123"/>
    </row>
    <row r="27" spans="1:12" ht="15.75">
      <c r="A27" s="418"/>
      <c r="B27" s="193"/>
      <c r="C27" s="123"/>
      <c r="D27" s="123"/>
      <c r="E27" s="123"/>
    </row>
    <row r="28" spans="1:12" ht="15.75">
      <c r="A28" s="418"/>
      <c r="B28" s="193"/>
      <c r="C28" s="123"/>
      <c r="D28" s="123"/>
      <c r="E28" s="123"/>
    </row>
    <row r="29" spans="1:12" ht="15.75">
      <c r="A29" s="419"/>
      <c r="B29" s="126"/>
      <c r="C29" s="123"/>
      <c r="D29" s="123"/>
      <c r="E29" s="123"/>
    </row>
    <row r="30" spans="1:12" ht="15">
      <c r="A30" s="417"/>
      <c r="B30" s="123"/>
      <c r="C30" s="123"/>
      <c r="D30" s="123"/>
      <c r="E30" s="123"/>
    </row>
    <row r="31" spans="1:12" ht="15">
      <c r="A31" s="417"/>
      <c r="B31" s="123"/>
      <c r="C31" s="123"/>
      <c r="D31" s="123"/>
      <c r="E31" s="123"/>
    </row>
    <row r="32" spans="1:12" ht="15">
      <c r="A32" s="417"/>
      <c r="B32" s="123"/>
      <c r="C32" s="123"/>
      <c r="D32" s="123"/>
      <c r="E32" s="123"/>
    </row>
    <row r="33" spans="1:5" ht="15">
      <c r="A33" s="417"/>
      <c r="B33" s="123"/>
      <c r="C33" s="123"/>
      <c r="D33" s="123"/>
      <c r="E33" s="123"/>
    </row>
    <row r="34" spans="1:5" ht="15">
      <c r="A34" s="123"/>
      <c r="B34" s="123"/>
      <c r="C34" s="123"/>
      <c r="D34" s="123"/>
      <c r="E34" s="123"/>
    </row>
    <row r="35" spans="1:5" ht="15">
      <c r="A35" s="123"/>
      <c r="B35" s="123"/>
      <c r="C35" s="123"/>
      <c r="D35" s="123"/>
      <c r="E35" s="123"/>
    </row>
  </sheetData>
  <mergeCells count="2">
    <mergeCell ref="A1:E1"/>
    <mergeCell ref="A3:B3"/>
  </mergeCells>
  <phoneticPr fontId="36" type="noConversion"/>
  <pageMargins left="0.75" right="0.75" top="1" bottom="1" header="0" footer="0"/>
  <pageSetup paperSize="9" scale="88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N20"/>
  <sheetViews>
    <sheetView workbookViewId="0">
      <selection activeCell="G7" sqref="G7"/>
    </sheetView>
  </sheetViews>
  <sheetFormatPr baseColWidth="10" defaultRowHeight="12.75"/>
  <cols>
    <col min="1" max="1" width="20.42578125" customWidth="1"/>
    <col min="2" max="2" width="23.5703125" customWidth="1"/>
    <col min="3" max="3" width="19.5703125" customWidth="1"/>
    <col min="4" max="4" width="16.85546875" customWidth="1"/>
    <col min="5" max="5" width="13.85546875" customWidth="1"/>
    <col min="6" max="6" width="12.5703125" customWidth="1"/>
  </cols>
  <sheetData>
    <row r="2" spans="1:14" ht="18">
      <c r="A2" s="441" t="s">
        <v>245</v>
      </c>
      <c r="B2" s="441"/>
      <c r="C2" s="257"/>
      <c r="D2" s="257"/>
    </row>
    <row r="5" spans="1:14" ht="13.5" thickBot="1"/>
    <row r="6" spans="1:14" ht="15.75">
      <c r="A6" s="287" t="s">
        <v>92</v>
      </c>
      <c r="B6" s="288" t="s">
        <v>113</v>
      </c>
      <c r="C6" s="288" t="s">
        <v>93</v>
      </c>
      <c r="D6" s="288" t="s">
        <v>22</v>
      </c>
      <c r="E6" s="289" t="s">
        <v>20</v>
      </c>
      <c r="F6" s="289" t="s">
        <v>69</v>
      </c>
    </row>
    <row r="7" spans="1:14" ht="15.75">
      <c r="A7" s="294" t="s">
        <v>114</v>
      </c>
      <c r="B7" s="290" t="s">
        <v>115</v>
      </c>
      <c r="C7" s="290" t="s">
        <v>116</v>
      </c>
      <c r="D7" s="291">
        <v>13.5</v>
      </c>
      <c r="E7" s="292">
        <v>8000</v>
      </c>
      <c r="F7" s="292">
        <f>D7*E7</f>
        <v>108000</v>
      </c>
    </row>
    <row r="8" spans="1:14" ht="15.75">
      <c r="A8" s="294" t="s">
        <v>117</v>
      </c>
      <c r="B8" s="290" t="s">
        <v>118</v>
      </c>
      <c r="C8" s="290" t="s">
        <v>119</v>
      </c>
      <c r="D8" s="291">
        <v>37.4</v>
      </c>
      <c r="E8" s="290">
        <v>8000</v>
      </c>
      <c r="F8" s="292">
        <f>D8*E8</f>
        <v>299200</v>
      </c>
    </row>
    <row r="9" spans="1:14" ht="15.75">
      <c r="A9" s="294" t="s">
        <v>117</v>
      </c>
      <c r="B9" s="290" t="s">
        <v>120</v>
      </c>
      <c r="C9" s="290" t="s">
        <v>119</v>
      </c>
      <c r="D9" s="291">
        <v>23.1</v>
      </c>
      <c r="E9" s="290">
        <v>8000</v>
      </c>
      <c r="F9" s="292">
        <f>D9*E9</f>
        <v>184800</v>
      </c>
    </row>
    <row r="10" spans="1:14" ht="15.75">
      <c r="A10" s="294" t="s">
        <v>117</v>
      </c>
      <c r="B10" s="290" t="s">
        <v>120</v>
      </c>
      <c r="C10" s="290" t="s">
        <v>211</v>
      </c>
      <c r="D10" s="293">
        <v>20.9</v>
      </c>
      <c r="E10" s="290">
        <v>8000</v>
      </c>
      <c r="F10" s="292">
        <f>D10*E10</f>
        <v>167200</v>
      </c>
    </row>
    <row r="11" spans="1:14" ht="15.75">
      <c r="A11" s="194" t="s">
        <v>172</v>
      </c>
      <c r="B11" s="122"/>
      <c r="C11" s="1"/>
      <c r="D11" s="193"/>
    </row>
    <row r="12" spans="1:14" ht="15">
      <c r="A12" s="151" t="s">
        <v>121</v>
      </c>
      <c r="B12" s="122"/>
      <c r="C12" s="1"/>
    </row>
    <row r="13" spans="1:14" ht="13.5" thickBot="1"/>
    <row r="14" spans="1:14" ht="15.75">
      <c r="A14" s="288" t="s">
        <v>113</v>
      </c>
      <c r="B14" s="288" t="s">
        <v>93</v>
      </c>
      <c r="C14" s="288" t="s">
        <v>14</v>
      </c>
      <c r="D14" s="288" t="s">
        <v>0</v>
      </c>
      <c r="E14" s="289" t="s">
        <v>1</v>
      </c>
      <c r="F14" s="442" t="s">
        <v>2</v>
      </c>
      <c r="G14" s="444" t="s">
        <v>3</v>
      </c>
      <c r="H14" s="444" t="s">
        <v>4</v>
      </c>
      <c r="I14" s="444" t="s">
        <v>15</v>
      </c>
      <c r="J14" s="444" t="s">
        <v>5</v>
      </c>
      <c r="K14" s="444" t="s">
        <v>236</v>
      </c>
      <c r="L14" s="444" t="s">
        <v>7</v>
      </c>
      <c r="M14" s="444" t="s">
        <v>8</v>
      </c>
      <c r="N14" s="444" t="s">
        <v>9</v>
      </c>
    </row>
    <row r="15" spans="1:14" ht="15.75">
      <c r="A15" s="290" t="s">
        <v>115</v>
      </c>
      <c r="B15" s="290" t="s">
        <v>116</v>
      </c>
      <c r="C15" s="290"/>
      <c r="D15" s="291"/>
      <c r="E15" s="292"/>
      <c r="F15" s="443"/>
      <c r="G15" s="349"/>
      <c r="H15" s="349"/>
      <c r="I15" s="349"/>
      <c r="J15" s="349"/>
      <c r="K15" s="349"/>
      <c r="L15" s="349"/>
      <c r="M15" s="349"/>
      <c r="N15" s="349"/>
    </row>
    <row r="16" spans="1:14" ht="15.75">
      <c r="A16" s="290" t="s">
        <v>118</v>
      </c>
      <c r="B16" s="290" t="s">
        <v>119</v>
      </c>
      <c r="C16" s="290"/>
      <c r="D16" s="291"/>
      <c r="E16" s="290"/>
      <c r="F16" s="443"/>
      <c r="G16" s="349"/>
      <c r="H16" s="349"/>
      <c r="I16" s="349"/>
      <c r="J16" s="349"/>
      <c r="K16" s="349"/>
      <c r="L16" s="349"/>
      <c r="M16" s="349"/>
      <c r="N16" s="349"/>
    </row>
    <row r="17" spans="1:14" ht="15.75">
      <c r="A17" s="290" t="s">
        <v>120</v>
      </c>
      <c r="B17" s="290" t="s">
        <v>119</v>
      </c>
      <c r="C17" s="290"/>
      <c r="D17" s="291"/>
      <c r="E17" s="290"/>
      <c r="F17" s="443"/>
      <c r="G17" s="349"/>
      <c r="H17" s="349"/>
      <c r="I17" s="349"/>
      <c r="J17" s="349"/>
      <c r="K17" s="349"/>
      <c r="L17" s="349"/>
      <c r="M17" s="349"/>
      <c r="N17" s="349"/>
    </row>
    <row r="18" spans="1:14" ht="15.75">
      <c r="A18" s="290" t="s">
        <v>120</v>
      </c>
      <c r="B18" s="290" t="s">
        <v>211</v>
      </c>
      <c r="C18" s="290"/>
      <c r="D18" s="293"/>
      <c r="E18" s="290"/>
      <c r="F18" s="443"/>
      <c r="G18" s="349"/>
      <c r="H18" s="349"/>
      <c r="I18" s="349"/>
      <c r="J18" s="349"/>
      <c r="K18" s="349"/>
      <c r="L18" s="349"/>
      <c r="M18" s="349"/>
      <c r="N18" s="349"/>
    </row>
    <row r="19" spans="1:14" ht="15.75">
      <c r="A19" s="194"/>
      <c r="B19" s="122"/>
      <c r="C19" s="1"/>
      <c r="D19" s="193"/>
    </row>
    <row r="20" spans="1:14" ht="15">
      <c r="A20" s="151"/>
      <c r="B20" s="122"/>
      <c r="C20" s="1"/>
    </row>
  </sheetData>
  <phoneticPr fontId="36" type="noConversion"/>
  <pageMargins left="0.75" right="0.75" top="1" bottom="1" header="0" footer="0"/>
  <pageSetup scale="61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6">
    <pageSetUpPr fitToPage="1"/>
  </sheetPr>
  <dimension ref="A1:J51"/>
  <sheetViews>
    <sheetView zoomScale="62" workbookViewId="0">
      <selection activeCell="A8" sqref="A8"/>
    </sheetView>
  </sheetViews>
  <sheetFormatPr baseColWidth="10" defaultRowHeight="12.75"/>
  <cols>
    <col min="1" max="1" width="35.5703125" customWidth="1"/>
    <col min="2" max="2" width="17.7109375" customWidth="1"/>
    <col min="3" max="3" width="30.5703125" customWidth="1"/>
    <col min="4" max="4" width="20.5703125" customWidth="1"/>
    <col min="5" max="5" width="17" customWidth="1"/>
    <col min="6" max="6" width="23.140625" customWidth="1"/>
    <col min="7" max="7" width="10.28515625" customWidth="1"/>
    <col min="8" max="8" width="9.85546875" customWidth="1"/>
    <col min="9" max="9" width="7" customWidth="1"/>
  </cols>
  <sheetData>
    <row r="1" spans="1:10" ht="13.5" thickBot="1"/>
    <row r="2" spans="1:10" ht="16.5" thickTop="1" thickBot="1">
      <c r="A2" s="34" t="s">
        <v>72</v>
      </c>
      <c r="B2" s="23"/>
      <c r="C2" s="23"/>
      <c r="D2" s="23"/>
      <c r="E2" s="23"/>
      <c r="F2" s="23"/>
      <c r="G2" s="23"/>
      <c r="H2" s="44" t="s">
        <v>151</v>
      </c>
      <c r="I2" s="45"/>
    </row>
    <row r="3" spans="1:10" ht="36" thickTop="1" thickBot="1">
      <c r="A3" s="2"/>
      <c r="B3" s="1"/>
      <c r="C3" s="1"/>
      <c r="D3" s="1"/>
      <c r="E3" s="13"/>
      <c r="F3" s="13"/>
      <c r="G3" s="13"/>
    </row>
    <row r="4" spans="1:10" ht="16.5" thickTop="1" thickBot="1">
      <c r="A4" s="34"/>
      <c r="B4" s="23"/>
      <c r="C4" s="23"/>
      <c r="D4" s="23"/>
      <c r="E4" s="23"/>
      <c r="F4" s="23"/>
      <c r="G4" s="23"/>
      <c r="H4" s="46" t="s">
        <v>152</v>
      </c>
      <c r="I4" s="45"/>
    </row>
    <row r="5" spans="1:10" ht="15.75" thickTop="1">
      <c r="A5" s="12"/>
      <c r="B5" s="1"/>
      <c r="C5" s="1"/>
      <c r="D5" s="1"/>
      <c r="E5" s="1"/>
      <c r="F5" s="1"/>
      <c r="G5" s="38"/>
    </row>
    <row r="6" spans="1:10" ht="15.75">
      <c r="A6" s="87" t="s">
        <v>137</v>
      </c>
      <c r="B6" s="87"/>
      <c r="C6" s="87"/>
      <c r="D6" s="87"/>
      <c r="E6" s="87"/>
      <c r="F6" s="87"/>
      <c r="G6" s="87"/>
      <c r="H6" s="87"/>
      <c r="I6" s="84"/>
    </row>
    <row r="7" spans="1:10">
      <c r="A7" s="7"/>
      <c r="B7" s="7"/>
      <c r="C7" s="7"/>
      <c r="D7" s="7"/>
      <c r="E7" s="7"/>
      <c r="F7" s="7"/>
      <c r="G7" s="7"/>
      <c r="H7" s="7"/>
    </row>
    <row r="8" spans="1:10">
      <c r="A8" s="88" t="s">
        <v>138</v>
      </c>
      <c r="B8" s="7"/>
      <c r="C8" s="7"/>
      <c r="D8" s="7"/>
      <c r="E8" s="7"/>
      <c r="F8" s="7"/>
      <c r="G8" s="7"/>
      <c r="H8" s="7"/>
    </row>
    <row r="9" spans="1:10" ht="13.5" thickBot="1">
      <c r="A9" s="88"/>
      <c r="B9" s="7"/>
      <c r="C9" s="7"/>
      <c r="D9" s="7"/>
      <c r="E9" s="7"/>
      <c r="F9" s="7"/>
      <c r="G9" s="7"/>
      <c r="H9" s="7"/>
    </row>
    <row r="10" spans="1:10">
      <c r="A10" s="89" t="s">
        <v>139</v>
      </c>
      <c r="B10" s="90">
        <v>1997</v>
      </c>
      <c r="C10" s="90">
        <v>1998</v>
      </c>
      <c r="D10" s="90">
        <v>1999</v>
      </c>
      <c r="E10" s="90">
        <v>2000</v>
      </c>
      <c r="F10" s="91">
        <v>2001</v>
      </c>
      <c r="G10" s="90">
        <v>2002</v>
      </c>
      <c r="H10" s="91">
        <v>2003</v>
      </c>
    </row>
    <row r="11" spans="1:10">
      <c r="A11" s="92" t="s">
        <v>140</v>
      </c>
      <c r="B11" s="93">
        <v>299474</v>
      </c>
      <c r="C11" s="93">
        <v>359599</v>
      </c>
      <c r="D11" s="93">
        <v>439231</v>
      </c>
      <c r="E11" s="93">
        <v>417477</v>
      </c>
      <c r="F11" s="94">
        <v>379652</v>
      </c>
      <c r="G11" s="93">
        <v>435219</v>
      </c>
      <c r="H11" s="94">
        <v>102401</v>
      </c>
    </row>
    <row r="12" spans="1:10">
      <c r="A12" s="92" t="s">
        <v>141</v>
      </c>
      <c r="B12" s="93">
        <v>75164</v>
      </c>
      <c r="C12" s="93">
        <v>70157</v>
      </c>
      <c r="D12" s="93">
        <v>39969</v>
      </c>
      <c r="E12" s="93">
        <v>39713</v>
      </c>
      <c r="F12" s="94">
        <v>45442</v>
      </c>
      <c r="G12" s="93">
        <v>149794</v>
      </c>
      <c r="H12" s="94">
        <v>15337</v>
      </c>
    </row>
    <row r="13" spans="1:10">
      <c r="A13" s="92" t="s">
        <v>142</v>
      </c>
      <c r="B13" s="93">
        <v>31599</v>
      </c>
      <c r="C13" s="93">
        <v>58381</v>
      </c>
      <c r="D13" s="93">
        <v>51590</v>
      </c>
      <c r="E13" s="93">
        <v>52002</v>
      </c>
      <c r="F13" s="94">
        <v>73993</v>
      </c>
      <c r="G13" s="93">
        <v>78486</v>
      </c>
      <c r="H13" s="94">
        <v>5500</v>
      </c>
    </row>
    <row r="14" spans="1:10">
      <c r="A14" s="95" t="s">
        <v>143</v>
      </c>
      <c r="B14" s="96">
        <v>2929336</v>
      </c>
      <c r="C14" s="96">
        <v>3084980</v>
      </c>
      <c r="D14" s="96">
        <v>3316566</v>
      </c>
      <c r="E14" s="96">
        <v>3419675</v>
      </c>
      <c r="F14" s="97">
        <v>3919005</v>
      </c>
      <c r="G14" s="96">
        <v>4386981</v>
      </c>
      <c r="H14" s="97">
        <v>906368</v>
      </c>
      <c r="I14" s="1"/>
      <c r="J14" s="1"/>
    </row>
    <row r="15" spans="1:10" ht="13.5" thickBot="1">
      <c r="A15" s="98" t="s">
        <v>69</v>
      </c>
      <c r="B15" s="99">
        <v>3335573</v>
      </c>
      <c r="C15" s="99">
        <v>3573117</v>
      </c>
      <c r="D15" s="99">
        <v>3847356</v>
      </c>
      <c r="E15" s="99">
        <v>3928867</v>
      </c>
      <c r="F15" s="100">
        <v>4418092</v>
      </c>
      <c r="G15" s="99">
        <v>5050480</v>
      </c>
      <c r="H15" s="100">
        <v>1029606</v>
      </c>
      <c r="I15" s="1"/>
      <c r="J15" s="1"/>
    </row>
    <row r="16" spans="1:10">
      <c r="I16" s="1"/>
      <c r="J16" s="1"/>
    </row>
    <row r="17" spans="1:10">
      <c r="A17" s="88" t="s">
        <v>144</v>
      </c>
      <c r="B17" s="101"/>
      <c r="C17" s="101"/>
      <c r="D17" s="101"/>
      <c r="E17" s="101"/>
      <c r="F17" s="101"/>
      <c r="G17" s="101"/>
      <c r="H17" s="101"/>
      <c r="I17" s="101"/>
      <c r="J17" s="101"/>
    </row>
    <row r="18" spans="1:10" ht="13.5" thickBot="1">
      <c r="A18" s="88"/>
      <c r="B18" s="101"/>
      <c r="C18" s="101"/>
      <c r="D18" s="101"/>
      <c r="E18" s="101"/>
      <c r="F18" s="101"/>
      <c r="G18" s="101"/>
      <c r="H18" s="101"/>
      <c r="I18" s="101"/>
      <c r="J18" s="101"/>
    </row>
    <row r="19" spans="1:10">
      <c r="A19" s="102" t="s">
        <v>139</v>
      </c>
      <c r="B19" s="103">
        <v>1997</v>
      </c>
      <c r="C19" s="103">
        <v>1998</v>
      </c>
      <c r="D19" s="103">
        <v>1999</v>
      </c>
      <c r="E19" s="90">
        <v>2000</v>
      </c>
      <c r="F19" s="91">
        <v>2001</v>
      </c>
      <c r="G19" s="90">
        <v>2002</v>
      </c>
      <c r="H19" s="91">
        <v>2003</v>
      </c>
      <c r="I19" s="108"/>
      <c r="J19" s="109"/>
    </row>
    <row r="20" spans="1:10">
      <c r="A20" s="92" t="s">
        <v>145</v>
      </c>
      <c r="B20" s="104">
        <v>194461</v>
      </c>
      <c r="C20" s="104">
        <v>187400</v>
      </c>
      <c r="D20" s="104">
        <v>96500</v>
      </c>
      <c r="E20" s="104">
        <v>143000</v>
      </c>
      <c r="F20" s="105">
        <v>122800</v>
      </c>
      <c r="G20" s="104">
        <v>203300</v>
      </c>
      <c r="H20" s="105">
        <v>53370</v>
      </c>
      <c r="I20" s="101"/>
      <c r="J20" s="101"/>
    </row>
    <row r="21" spans="1:10" ht="13.5" thickBot="1">
      <c r="A21" s="98" t="s">
        <v>69</v>
      </c>
      <c r="B21" s="106">
        <v>194461</v>
      </c>
      <c r="C21" s="106">
        <v>187400</v>
      </c>
      <c r="D21" s="106">
        <v>96500</v>
      </c>
      <c r="E21" s="106">
        <v>143000</v>
      </c>
      <c r="F21" s="107">
        <v>122800</v>
      </c>
      <c r="G21" s="106">
        <v>203300</v>
      </c>
      <c r="H21" s="107">
        <v>53370</v>
      </c>
      <c r="I21" s="108"/>
      <c r="J21" s="108"/>
    </row>
    <row r="22" spans="1:10">
      <c r="I22" s="1"/>
      <c r="J22" s="1"/>
    </row>
    <row r="23" spans="1:10">
      <c r="I23" s="1"/>
      <c r="J23" s="1"/>
    </row>
    <row r="24" spans="1:10">
      <c r="A24" s="88" t="s">
        <v>146</v>
      </c>
      <c r="B24" s="101"/>
      <c r="C24" s="101"/>
      <c r="D24" s="101"/>
      <c r="E24" s="101"/>
      <c r="F24" s="101"/>
      <c r="G24" s="101"/>
      <c r="H24" s="101"/>
      <c r="I24" s="101"/>
      <c r="J24" s="101"/>
    </row>
    <row r="25" spans="1:10" ht="13.5" thickBot="1">
      <c r="A25" s="7"/>
      <c r="B25" s="101"/>
      <c r="C25" s="101"/>
      <c r="D25" s="101"/>
      <c r="E25" s="101"/>
      <c r="F25" s="101"/>
      <c r="G25" s="101"/>
      <c r="H25" s="101"/>
      <c r="I25" s="101"/>
      <c r="J25" s="101"/>
    </row>
    <row r="26" spans="1:10">
      <c r="A26" s="102" t="s">
        <v>139</v>
      </c>
      <c r="B26" s="103">
        <v>1997</v>
      </c>
      <c r="C26" s="103">
        <v>1998</v>
      </c>
      <c r="D26" s="103">
        <v>1999</v>
      </c>
      <c r="E26" s="103">
        <v>2000</v>
      </c>
      <c r="F26" s="91">
        <v>2001</v>
      </c>
      <c r="G26" s="90">
        <v>2002</v>
      </c>
      <c r="H26" s="91">
        <v>2003</v>
      </c>
      <c r="I26" s="108"/>
      <c r="J26" s="109"/>
    </row>
    <row r="27" spans="1:10">
      <c r="A27" s="92" t="s">
        <v>141</v>
      </c>
      <c r="B27" s="93">
        <v>3050</v>
      </c>
      <c r="C27" s="93">
        <v>0</v>
      </c>
      <c r="D27" s="93">
        <v>0</v>
      </c>
      <c r="E27" s="93">
        <v>0</v>
      </c>
      <c r="F27" s="94">
        <v>0</v>
      </c>
      <c r="G27" s="93">
        <v>0</v>
      </c>
      <c r="H27" s="94">
        <v>0</v>
      </c>
      <c r="I27" s="111"/>
      <c r="J27" s="111"/>
    </row>
    <row r="28" spans="1:10">
      <c r="A28" s="95" t="s">
        <v>145</v>
      </c>
      <c r="B28" s="96">
        <v>326189.40000000002</v>
      </c>
      <c r="C28" s="96">
        <v>279120</v>
      </c>
      <c r="D28" s="96">
        <v>352944</v>
      </c>
      <c r="E28" s="96">
        <v>370275</v>
      </c>
      <c r="F28" s="97">
        <v>158299</v>
      </c>
      <c r="G28" s="96">
        <v>95649.919999999998</v>
      </c>
      <c r="H28" s="97">
        <v>32994.720000000001</v>
      </c>
      <c r="I28" s="111"/>
      <c r="J28" s="111"/>
    </row>
    <row r="29" spans="1:10" ht="13.5" thickBot="1">
      <c r="A29" s="98" t="s">
        <v>69</v>
      </c>
      <c r="B29" s="99">
        <v>329239.40000000002</v>
      </c>
      <c r="C29" s="99">
        <v>279120</v>
      </c>
      <c r="D29" s="99">
        <v>352944</v>
      </c>
      <c r="E29" s="99">
        <v>370275</v>
      </c>
      <c r="F29" s="100">
        <v>158299</v>
      </c>
      <c r="G29" s="114">
        <v>95649.919999999998</v>
      </c>
      <c r="H29" s="121">
        <v>32994.720000000001</v>
      </c>
      <c r="I29" s="112"/>
      <c r="J29" s="112"/>
    </row>
    <row r="30" spans="1:10">
      <c r="A30" s="110"/>
      <c r="B30" s="101"/>
      <c r="C30" s="101"/>
      <c r="D30" s="101"/>
      <c r="E30" s="101"/>
      <c r="F30" s="101"/>
      <c r="G30" s="113"/>
      <c r="H30" s="113"/>
      <c r="I30" s="113"/>
      <c r="J30" s="113"/>
    </row>
    <row r="31" spans="1:10">
      <c r="A31" s="88" t="s">
        <v>147</v>
      </c>
      <c r="B31" s="101"/>
      <c r="C31" s="101"/>
      <c r="D31" s="101"/>
      <c r="E31" s="101"/>
      <c r="F31" s="101"/>
      <c r="G31" s="101"/>
      <c r="H31" s="101"/>
      <c r="I31" s="101"/>
      <c r="J31" s="101"/>
    </row>
    <row r="32" spans="1:10" ht="13.5" thickBot="1">
      <c r="A32" s="7"/>
      <c r="B32" s="101"/>
      <c r="C32" s="101"/>
      <c r="D32" s="101"/>
      <c r="E32" s="101"/>
      <c r="F32" s="101"/>
      <c r="G32" s="101"/>
      <c r="H32" s="101"/>
      <c r="I32" s="101"/>
      <c r="J32" s="101"/>
    </row>
    <row r="33" spans="1:10">
      <c r="A33" s="102" t="s">
        <v>139</v>
      </c>
      <c r="B33" s="103">
        <v>1997</v>
      </c>
      <c r="C33" s="103">
        <v>1998</v>
      </c>
      <c r="D33" s="103">
        <v>1999</v>
      </c>
      <c r="E33" s="103">
        <v>2000</v>
      </c>
      <c r="F33" s="91">
        <v>2001</v>
      </c>
      <c r="G33" s="90">
        <v>2002</v>
      </c>
      <c r="H33" s="91">
        <v>2003</v>
      </c>
      <c r="I33" s="108"/>
      <c r="J33" s="109"/>
    </row>
    <row r="34" spans="1:10">
      <c r="A34" s="92" t="s">
        <v>140</v>
      </c>
      <c r="B34" s="93">
        <v>301573</v>
      </c>
      <c r="C34" s="93">
        <v>233422</v>
      </c>
      <c r="D34" s="93">
        <v>260848.37</v>
      </c>
      <c r="E34" s="93">
        <v>30720</v>
      </c>
      <c r="F34" s="94">
        <v>91775</v>
      </c>
      <c r="G34" s="93">
        <v>177441</v>
      </c>
      <c r="H34" s="94">
        <v>16328</v>
      </c>
      <c r="I34" s="111"/>
      <c r="J34" s="111"/>
    </row>
    <row r="35" spans="1:10">
      <c r="A35" s="95" t="s">
        <v>143</v>
      </c>
      <c r="B35" s="96">
        <v>2677637</v>
      </c>
      <c r="C35" s="96">
        <v>2857578</v>
      </c>
      <c r="D35" s="96">
        <v>2189003.4500000002</v>
      </c>
      <c r="E35" s="96">
        <v>2301198</v>
      </c>
      <c r="F35" s="97">
        <v>2175352</v>
      </c>
      <c r="G35" s="96">
        <v>2125464</v>
      </c>
      <c r="H35" s="97">
        <v>325492</v>
      </c>
      <c r="I35" s="111"/>
      <c r="J35" s="111"/>
    </row>
    <row r="36" spans="1:10" ht="13.5" thickBot="1">
      <c r="A36" s="98" t="s">
        <v>69</v>
      </c>
      <c r="B36" s="99">
        <v>2979210</v>
      </c>
      <c r="C36" s="99">
        <v>3091000</v>
      </c>
      <c r="D36" s="99">
        <v>2449851.8199999998</v>
      </c>
      <c r="E36" s="99">
        <v>2331918</v>
      </c>
      <c r="F36" s="99">
        <v>2267127</v>
      </c>
      <c r="G36" s="99">
        <v>2302905</v>
      </c>
      <c r="H36" s="100">
        <v>341820</v>
      </c>
      <c r="I36" s="112"/>
      <c r="J36" s="112"/>
    </row>
    <row r="37" spans="1:10">
      <c r="I37" s="1"/>
      <c r="J37" s="1"/>
    </row>
    <row r="38" spans="1:10">
      <c r="A38" s="88" t="s">
        <v>148</v>
      </c>
      <c r="B38" s="101"/>
      <c r="C38" s="101"/>
      <c r="D38" s="101"/>
      <c r="E38" s="101"/>
      <c r="F38" s="101"/>
      <c r="G38" s="101"/>
      <c r="H38" s="101"/>
      <c r="I38" s="101"/>
      <c r="J38" s="101"/>
    </row>
    <row r="39" spans="1:10" ht="13.5" thickBot="1">
      <c r="A39" s="7"/>
      <c r="B39" s="101"/>
      <c r="C39" s="101"/>
      <c r="D39" s="101"/>
      <c r="E39" s="101"/>
      <c r="F39" s="101"/>
      <c r="G39" s="101"/>
      <c r="H39" s="101"/>
      <c r="I39" s="101"/>
      <c r="J39" s="101"/>
    </row>
    <row r="40" spans="1:10">
      <c r="A40" s="102" t="s">
        <v>139</v>
      </c>
      <c r="B40" s="103">
        <v>1997</v>
      </c>
      <c r="C40" s="103">
        <v>1998</v>
      </c>
      <c r="D40" s="103">
        <v>1999</v>
      </c>
      <c r="E40" s="103">
        <v>2000</v>
      </c>
      <c r="F40" s="91">
        <v>2001</v>
      </c>
      <c r="G40" s="90">
        <v>2002</v>
      </c>
      <c r="H40" s="91">
        <v>2003</v>
      </c>
      <c r="I40" s="108"/>
      <c r="J40" s="109"/>
    </row>
    <row r="41" spans="1:10">
      <c r="A41" s="92" t="s">
        <v>149</v>
      </c>
      <c r="B41" s="115">
        <v>549022.93999999994</v>
      </c>
      <c r="C41" s="115">
        <v>490222</v>
      </c>
      <c r="D41" s="115">
        <v>465146</v>
      </c>
      <c r="E41" s="115">
        <v>458661</v>
      </c>
      <c r="F41" s="116">
        <v>454058</v>
      </c>
      <c r="G41" s="115">
        <v>422144.69</v>
      </c>
      <c r="H41" s="116">
        <v>120600.76</v>
      </c>
      <c r="I41" s="119"/>
      <c r="J41" s="119"/>
    </row>
    <row r="42" spans="1:10">
      <c r="A42" s="92" t="s">
        <v>143</v>
      </c>
      <c r="B42" s="115">
        <v>895134.1</v>
      </c>
      <c r="C42" s="115">
        <v>652553</v>
      </c>
      <c r="D42" s="115">
        <v>670182</v>
      </c>
      <c r="E42" s="115">
        <v>903255</v>
      </c>
      <c r="F42" s="116">
        <v>936713</v>
      </c>
      <c r="G42" s="115">
        <v>990453.49</v>
      </c>
      <c r="H42" s="116">
        <v>211376.65</v>
      </c>
      <c r="I42" s="119"/>
      <c r="J42" s="119"/>
    </row>
    <row r="43" spans="1:10" ht="13.5" thickBot="1">
      <c r="A43" s="98" t="s">
        <v>69</v>
      </c>
      <c r="B43" s="99">
        <v>1444157.04</v>
      </c>
      <c r="C43" s="99">
        <v>1142775</v>
      </c>
      <c r="D43" s="99">
        <v>1135328</v>
      </c>
      <c r="E43" s="99">
        <v>1361916</v>
      </c>
      <c r="F43" s="99">
        <v>1390771</v>
      </c>
      <c r="G43" s="99">
        <v>1412598.18</v>
      </c>
      <c r="H43" s="100">
        <v>331977.40999999997</v>
      </c>
      <c r="I43" s="120"/>
      <c r="J43" s="120"/>
    </row>
    <row r="44" spans="1:10">
      <c r="I44" s="1"/>
      <c r="J44" s="1"/>
    </row>
    <row r="45" spans="1:10">
      <c r="A45" s="88" t="s">
        <v>153</v>
      </c>
      <c r="B45" s="101"/>
      <c r="C45" s="101"/>
      <c r="D45" s="101"/>
      <c r="E45" s="101"/>
      <c r="F45" s="101"/>
      <c r="G45" s="101"/>
      <c r="H45" s="101"/>
      <c r="I45" s="101"/>
      <c r="J45" s="101"/>
    </row>
    <row r="46" spans="1:10" ht="13.5" thickBot="1">
      <c r="A46" s="7"/>
      <c r="B46" s="101"/>
      <c r="C46" s="101"/>
      <c r="D46" s="101"/>
      <c r="E46" s="101"/>
      <c r="F46" s="101"/>
      <c r="G46" s="101"/>
      <c r="H46" s="101"/>
      <c r="I46" s="101"/>
      <c r="J46" s="101"/>
    </row>
    <row r="47" spans="1:10">
      <c r="A47" s="102" t="s">
        <v>139</v>
      </c>
      <c r="B47" s="103">
        <v>1997</v>
      </c>
      <c r="C47" s="103">
        <v>1998</v>
      </c>
      <c r="D47" s="103">
        <v>1999</v>
      </c>
      <c r="E47" s="103">
        <v>2000</v>
      </c>
      <c r="F47" s="91">
        <v>2001</v>
      </c>
      <c r="G47" s="103">
        <v>2002</v>
      </c>
      <c r="H47" s="91">
        <v>2003</v>
      </c>
      <c r="I47" s="108"/>
      <c r="J47" s="109"/>
    </row>
    <row r="48" spans="1:10">
      <c r="A48" s="92" t="s">
        <v>141</v>
      </c>
      <c r="B48" s="115">
        <v>188383</v>
      </c>
      <c r="C48" s="115">
        <v>180688</v>
      </c>
      <c r="D48" s="115">
        <v>176228</v>
      </c>
      <c r="E48" s="115">
        <v>189252</v>
      </c>
      <c r="F48" s="116">
        <v>163595</v>
      </c>
      <c r="G48" s="115">
        <v>165609</v>
      </c>
      <c r="H48" s="116">
        <v>30131</v>
      </c>
      <c r="I48" s="119"/>
      <c r="J48" s="119"/>
    </row>
    <row r="49" spans="1:10">
      <c r="A49" s="92" t="s">
        <v>143</v>
      </c>
      <c r="B49" s="115">
        <v>414853</v>
      </c>
      <c r="C49" s="115">
        <v>563755</v>
      </c>
      <c r="D49" s="115">
        <v>513669</v>
      </c>
      <c r="E49" s="115">
        <v>711332</v>
      </c>
      <c r="F49" s="116">
        <v>703702</v>
      </c>
      <c r="G49" s="115">
        <v>473906</v>
      </c>
      <c r="H49" s="116">
        <v>73703</v>
      </c>
      <c r="I49" s="119"/>
      <c r="J49" s="119"/>
    </row>
    <row r="50" spans="1:10">
      <c r="A50" s="92" t="s">
        <v>150</v>
      </c>
      <c r="B50" s="115">
        <v>0</v>
      </c>
      <c r="C50" s="115">
        <v>0</v>
      </c>
      <c r="D50" s="115">
        <v>0</v>
      </c>
      <c r="E50" s="115">
        <v>0</v>
      </c>
      <c r="F50" s="116">
        <v>0</v>
      </c>
      <c r="G50" s="115">
        <v>10145</v>
      </c>
      <c r="H50" s="116">
        <v>1870</v>
      </c>
      <c r="I50" s="119"/>
      <c r="J50" s="119"/>
    </row>
    <row r="51" spans="1:10" ht="13.5" thickBot="1">
      <c r="A51" s="98" t="s">
        <v>69</v>
      </c>
      <c r="B51" s="117">
        <v>603356</v>
      </c>
      <c r="C51" s="117">
        <v>744443</v>
      </c>
      <c r="D51" s="117">
        <v>689897</v>
      </c>
      <c r="E51" s="117">
        <v>900584</v>
      </c>
      <c r="F51" s="118">
        <v>229938</v>
      </c>
      <c r="G51" s="117">
        <v>900584</v>
      </c>
      <c r="H51" s="118">
        <v>229938</v>
      </c>
      <c r="I51" s="120"/>
      <c r="J51" s="120"/>
    </row>
  </sheetData>
  <phoneticPr fontId="36" type="noConversion"/>
  <pageMargins left="0.75" right="0.75" top="1" bottom="1" header="0" footer="0"/>
  <pageSetup paperSize="9" scale="47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3</vt:i4>
      </vt:variant>
    </vt:vector>
  </HeadingPairs>
  <TitlesOfParts>
    <vt:vector size="23" baseType="lpstr">
      <vt:lpstr>b. CAMION</vt:lpstr>
      <vt:lpstr>Base FF.CC.</vt:lpstr>
      <vt:lpstr>b. marít graficos</vt:lpstr>
      <vt:lpstr>informe </vt:lpstr>
      <vt:lpstr>BASE ffcc</vt:lpstr>
      <vt:lpstr>BASE TEMATICO 2º</vt:lpstr>
      <vt:lpstr>Inf Tematico Maritimo</vt:lpstr>
      <vt:lpstr>Inf. Temático FF.CC.</vt:lpstr>
      <vt:lpstr>Inf Temático 1°Semest-09</vt:lpstr>
      <vt:lpstr>Inf Tematico 2°Semest</vt:lpstr>
      <vt:lpstr>Informe Temático (4)</vt:lpstr>
      <vt:lpstr>Inf. Mario</vt:lpstr>
      <vt:lpstr>Hoja1</vt:lpstr>
      <vt:lpstr>BASE CAMION</vt:lpstr>
      <vt:lpstr>B.MARITIMO</vt:lpstr>
      <vt:lpstr>b. contenedores</vt:lpstr>
      <vt:lpstr>kilometros contenedor</vt:lpstr>
      <vt:lpstr>B.AEREO</vt:lpstr>
      <vt:lpstr>B.BARCAZAS</vt:lpstr>
      <vt:lpstr>Informe Temático (2)</vt:lpstr>
      <vt:lpstr>'Informe Temático (4)'!I_MARITIMO</vt:lpstr>
      <vt:lpstr>'Informe Temático (4)'!III_FLUVIAL</vt:lpstr>
      <vt:lpstr>'Inf. Mario'!IMPRICAMION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cliglesias@magyp.gob.ar</dc:creator>
  <cp:lastModifiedBy>Adriana Ines Esposito</cp:lastModifiedBy>
  <cp:lastPrinted>2024-09-25T18:29:40Z</cp:lastPrinted>
  <dcterms:created xsi:type="dcterms:W3CDTF">2001-08-22T15:54:22Z</dcterms:created>
  <dcterms:modified xsi:type="dcterms:W3CDTF">2026-10-27T08:03:37Z</dcterms:modified>
</cp:coreProperties>
</file>